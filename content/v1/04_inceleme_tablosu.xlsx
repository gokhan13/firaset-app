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Kıyafetname" sheetId="2" state="visible" r:id="rId4"/>
    <sheet name="Mizaç-Test" sheetId="3" state="visible" r:id="rId5"/>
    <sheet name="Seğirme" sheetId="4" state="visible" r:id="rId6"/>
    <sheet name="12 Hayva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<sst xmlns="http://schemas.openxmlformats.org/spreadsheetml/2006/main" count="1664" uniqueCount="947">
  <si>
    <t xml:space="preserve">MARİFETNAME BİLGİ TABANI - İNCELEME ÖZETİ</t>
  </si>
  <si>
    <t xml:space="preserve">Toplam kıyafetname kuralı</t>
  </si>
  <si>
    <t xml:space="preserve">Aktif (onay bekliyor)</t>
  </si>
  <si>
    <t xml:space="preserve">Hariç önerisi (karar sizde)</t>
  </si>
  <si>
    <t xml:space="preserve">Hariç (kesin dışarıda)</t>
  </si>
  <si>
    <t xml:space="preserve">Kamera-yüz ile ölçülebilen</t>
  </si>
  <si>
    <t xml:space="preserve">El fotoğrafı isteyen</t>
  </si>
  <si>
    <t xml:space="preserve">Ses kaydı isteyen</t>
  </si>
  <si>
    <t xml:space="preserve">Öz-bildirim (test/seçim)</t>
  </si>
  <si>
    <t xml:space="preserve">Mizaç testi maddesi</t>
  </si>
  <si>
    <t xml:space="preserve">Seğirme maddesi</t>
  </si>
  <si>
    <t xml:space="preserve">12 Hayvan yılı kaydı</t>
  </si>
  <si>
    <t xml:space="preserve">Kullanım: Kıyafetname sayfasındaki KARARINIZ sütununa onay/haric/duzelt yazın; kırmızı=hariç, turuncu=karar bekliyor.</t>
  </si>
  <si>
    <t xml:space="preserve">ID</t>
  </si>
  <si>
    <t xml:space="preserve">Bölge</t>
  </si>
  <si>
    <t xml:space="preserve">Değer</t>
  </si>
  <si>
    <t xml:space="preserve">Metnin yüklediği özellikler</t>
  </si>
  <si>
    <t xml:space="preserve">Yön</t>
  </si>
  <si>
    <t xml:space="preserve">Kanal</t>
  </si>
  <si>
    <t xml:space="preserve">Sayfa</t>
  </si>
  <si>
    <t xml:space="preserve">Durum</t>
  </si>
  <si>
    <t xml:space="preserve">Hariç nedeni</t>
  </si>
  <si>
    <t xml:space="preserve">Uygulama metni (taslak)</t>
  </si>
  <si>
    <t xml:space="preserve">Not</t>
  </si>
  <si>
    <t xml:space="preserve">KARARINIZ</t>
  </si>
  <si>
    <t xml:space="preserve">BB-01</t>
  </si>
  <si>
    <t xml:space="preserve">boy</t>
  </si>
  <si>
    <t xml:space="preserve">uzun</t>
  </si>
  <si>
    <t xml:space="preserve">saf, temiz kalpli (sade-dil)</t>
  </si>
  <si>
    <t xml:space="preserve">notr</t>
  </si>
  <si>
    <t xml:space="preserve">oz_bildirim</t>
  </si>
  <si>
    <t xml:space="preserve">onay_bekliyor</t>
  </si>
  <si>
    <t xml:space="preserve">Kıyafetname uzun boyu içi dışı bir, hesapsız bir saflıkla eşler.</t>
  </si>
  <si>
    <t xml:space="preserve">BB-02</t>
  </si>
  <si>
    <t xml:space="preserve">kısa</t>
  </si>
  <si>
    <t xml:space="preserve">hilesi çok (kurnaz)</t>
  </si>
  <si>
    <t xml:space="preserve">olumsuz</t>
  </si>
  <si>
    <t xml:space="preserve">Metin kısa boyu kıvrak, stratejik bir zekâyla okur.</t>
  </si>
  <si>
    <t xml:space="preserve">'hile' ifadesi yumuşatıldı; orijinal ton olumsuz</t>
  </si>
  <si>
    <t xml:space="preserve">BB-03</t>
  </si>
  <si>
    <t xml:space="preserve">orta</t>
  </si>
  <si>
    <t xml:space="preserve">akıllı | hoş huylu</t>
  </si>
  <si>
    <t xml:space="preserve">olumlu</t>
  </si>
  <si>
    <t xml:space="preserve">Orta boy, metinde akıl ve güzel huyun dengesi sayılır.</t>
  </si>
  <si>
    <t xml:space="preserve">BB-04</t>
  </si>
  <si>
    <t xml:space="preserve">saç dokusu</t>
  </si>
  <si>
    <t xml:space="preserve">sert/kalın telli</t>
  </si>
  <si>
    <t xml:space="preserve">keskin zekâ | cesaret</t>
  </si>
  <si>
    <t xml:space="preserve">Sert saç teli, metinde akılla cesaretin bir arada olduğuna işarettir.</t>
  </si>
  <si>
    <t xml:space="preserve">BB-05</t>
  </si>
  <si>
    <t xml:space="preserve">yumuşak/ince telli</t>
  </si>
  <si>
    <t xml:space="preserve">fazla saf | çekingenliği az (arsız)</t>
  </si>
  <si>
    <t xml:space="preserve">Yumuşak saç, metinde fazla saf ve pervasız bir tabiata yorulur.</t>
  </si>
  <si>
    <t xml:space="preserve">BB-06</t>
  </si>
  <si>
    <t xml:space="preserve">saç rengi</t>
  </si>
  <si>
    <t xml:space="preserve">sarı</t>
  </si>
  <si>
    <t xml:space="preserve">kibir | öfke</t>
  </si>
  <si>
    <t xml:space="preserve">kamera_goruntu</t>
  </si>
  <si>
    <t xml:space="preserve">haric_onerisi</t>
  </si>
  <si>
    <t xml:space="preserve">Saç rengi boyanabilir + köken iması taşıyabilir; renk temelli hüküm riskli</t>
  </si>
  <si>
    <t xml:space="preserve">BB-07</t>
  </si>
  <si>
    <t xml:space="preserve">siyah</t>
  </si>
  <si>
    <t xml:space="preserve">sabırlı | yakınlık kurulası</t>
  </si>
  <si>
    <t xml:space="preserve">Renk temelli hüküm (bkz. BB-06)</t>
  </si>
  <si>
    <t xml:space="preserve">BB-08</t>
  </si>
  <si>
    <t xml:space="preserve">kumral</t>
  </si>
  <si>
    <t xml:space="preserve">güzel | eşsiz huy</t>
  </si>
  <si>
    <t xml:space="preserve">BB-09</t>
  </si>
  <si>
    <t xml:space="preserve">saç yoğunluğu</t>
  </si>
  <si>
    <t xml:space="preserve">seyrek</t>
  </si>
  <si>
    <t xml:space="preserve">ârif | zarif</t>
  </si>
  <si>
    <t xml:space="preserve">Seyrek saç, metinde incelik ve irfan işaretidir.</t>
  </si>
  <si>
    <t xml:space="preserve">BB-10</t>
  </si>
  <si>
    <t xml:space="preserve">çok gür (kadında)</t>
  </si>
  <si>
    <t xml:space="preserve">anlayışı kıt</t>
  </si>
  <si>
    <t xml:space="preserve">yok</t>
  </si>
  <si>
    <t xml:space="preserve">haric</t>
  </si>
  <si>
    <t xml:space="preserve">Cinsiyete özgü aşağılayıcı genelleme</t>
  </si>
  <si>
    <t xml:space="preserve">BB-11</t>
  </si>
  <si>
    <t xml:space="preserve">baş</t>
  </si>
  <si>
    <t xml:space="preserve">küçük</t>
  </si>
  <si>
    <t xml:space="preserve">akıl az | sır verilmez</t>
  </si>
  <si>
    <t xml:space="preserve">Metin küçük başı, detaya boğulmayan pratik bir akılla eşler.</t>
  </si>
  <si>
    <t xml:space="preserve">orijinal ton daha sert</t>
  </si>
  <si>
    <t xml:space="preserve">BB-12</t>
  </si>
  <si>
    <t xml:space="preserve">büyük</t>
  </si>
  <si>
    <t xml:space="preserve">akıl çok</t>
  </si>
  <si>
    <t xml:space="preserve">Büyük baş, metinde geniş akla işarettir.</t>
  </si>
  <si>
    <t xml:space="preserve">BB-83 ile gerilim: hacim/biçim ayrımı</t>
  </si>
  <si>
    <t xml:space="preserve">BB-13</t>
  </si>
  <si>
    <t xml:space="preserve">üstü yassı</t>
  </si>
  <si>
    <t xml:space="preserve">keder çekmez</t>
  </si>
  <si>
    <t xml:space="preserve">Metne göre başının üstü düz olan, derdi üstünde taşımaz.</t>
  </si>
  <si>
    <t xml:space="preserve">BB-14</t>
  </si>
  <si>
    <t xml:space="preserve">baş derisi</t>
  </si>
  <si>
    <t xml:space="preserve">sağlam/gergin</t>
  </si>
  <si>
    <t xml:space="preserve">hayır işler, zarar vermez</t>
  </si>
  <si>
    <t xml:space="preserve">Metin sağlam başı iyilikle iş görmeye yorar.</t>
  </si>
  <si>
    <t xml:space="preserve">BB-15</t>
  </si>
  <si>
    <t xml:space="preserve">saç</t>
  </si>
  <si>
    <t xml:space="preserve">kel</t>
  </si>
  <si>
    <t xml:space="preserve">kötü huy (metne göre)</t>
  </si>
  <si>
    <t xml:space="preserve">Görünüm/sağlık (alopesi) ayrımcılığı</t>
  </si>
  <si>
    <t xml:space="preserve">BB-16</t>
  </si>
  <si>
    <t xml:space="preserve">alın</t>
  </si>
  <si>
    <t xml:space="preserve">dar</t>
  </si>
  <si>
    <t xml:space="preserve">ahlâkı dar/katı</t>
  </si>
  <si>
    <t xml:space="preserve">kamera_mesh</t>
  </si>
  <si>
    <t xml:space="preserve">Metin dar alnı ilkelerinden taviz vermeyen sert bir çizgiyle okur.</t>
  </si>
  <si>
    <t xml:space="preserve">BB-17</t>
  </si>
  <si>
    <t xml:space="preserve">yumru/çıkık</t>
  </si>
  <si>
    <t xml:space="preserve">aldatıcı</t>
  </si>
  <si>
    <t xml:space="preserve">Metin çıkık alnı çıkarını iyi kollayan kurnaz bir pazarlıkçıya yorar.</t>
  </si>
  <si>
    <t xml:space="preserve">yumuşatıldı</t>
  </si>
  <si>
    <t xml:space="preserve">BB-18</t>
  </si>
  <si>
    <t xml:space="preserve">enli/geniş</t>
  </si>
  <si>
    <t xml:space="preserve">huysuzluğu hastalık gibi</t>
  </si>
  <si>
    <t xml:space="preserve">İlginç: metin geniş alnı zorlu bir mizaçla eşler.</t>
  </si>
  <si>
    <t xml:space="preserve">Popüler 'geniş alın=zekâ' beklentisinin TERSİ - ürün için iyi sohbet malzemesi</t>
  </si>
  <si>
    <t xml:space="preserve">BB-19</t>
  </si>
  <si>
    <t xml:space="preserve">düzgün/orta</t>
  </si>
  <si>
    <t xml:space="preserve">güvenilir</t>
  </si>
  <si>
    <t xml:space="preserve">Dengeli alın, metinde emniyetin işaretidir.</t>
  </si>
  <si>
    <t xml:space="preserve">BB-20</t>
  </si>
  <si>
    <t xml:space="preserve">kırışıksız</t>
  </si>
  <si>
    <t xml:space="preserve">tembel</t>
  </si>
  <si>
    <t xml:space="preserve">Metin kırışıksız alnı rahatına düşkünlüğe yorar.</t>
  </si>
  <si>
    <t xml:space="preserve">Yaşla doğal ilişki: genç kullanıcıda yanıltıcı, ağırlığı düşük tut</t>
  </si>
  <si>
    <t xml:space="preserve">BB-21</t>
  </si>
  <si>
    <t xml:space="preserve">kırışıkları uzun / az</t>
  </si>
  <si>
    <t xml:space="preserve">uzun-&gt;anlayışlı | az-&gt;ketum (eldeki çeviride: cömert)</t>
  </si>
  <si>
    <t xml:space="preserve">karisik</t>
  </si>
  <si>
    <t xml:space="preserve">Uzun alın çizgileri metinde derin kavrayışa işarettir.</t>
  </si>
  <si>
    <t xml:space="preserve">Beyitte 'ketîm', çeviride 'cömert' - nüsha teyidi gerekli</t>
  </si>
  <si>
    <t xml:space="preserve">BB-22</t>
  </si>
  <si>
    <t xml:space="preserve">kaş arası</t>
  </si>
  <si>
    <t xml:space="preserve">çizgili/çatık</t>
  </si>
  <si>
    <t xml:space="preserve">gam yüklü</t>
  </si>
  <si>
    <t xml:space="preserve">Kaş arasındaki çizgi, metinde yükünü içinde taşıyan duyarlı bir gönle işarettir.</t>
  </si>
  <si>
    <t xml:space="preserve">BB-23</t>
  </si>
  <si>
    <t xml:space="preserve">kulak</t>
  </si>
  <si>
    <t xml:space="preserve">büyük ve enli</t>
  </si>
  <si>
    <t xml:space="preserve">bilgisiz | tembel</t>
  </si>
  <si>
    <t xml:space="preserve">Metin iri kulağı öğrenmeye üşenen bir rahatlıkla okur.</t>
  </si>
  <si>
    <t xml:space="preserve">Frontal mesh ile zor; profil fotoğrafı ister</t>
  </si>
  <si>
    <t xml:space="preserve">BB-24</t>
  </si>
  <si>
    <t xml:space="preserve">küçük / orta</t>
  </si>
  <si>
    <t xml:space="preserve">küçük-&gt;hırsızlık iması (GÖSTERME) | orta-&gt;dürüst</t>
  </si>
  <si>
    <t xml:space="preserve">Orta büyüklükte kulak metinde dürüstlük işaretidir.</t>
  </si>
  <si>
    <t xml:space="preserve">Küçük kulak hükmü suç iması içerir; motor yalnız 'orta' değerini kullanmalı</t>
  </si>
  <si>
    <t xml:space="preserve">BB-25</t>
  </si>
  <si>
    <t xml:space="preserve">kaş</t>
  </si>
  <si>
    <t xml:space="preserve">ucu ince</t>
  </si>
  <si>
    <t xml:space="preserve">işi gücü fitne</t>
  </si>
  <si>
    <t xml:space="preserve">Metin ince kaş ucunu sosyal dengeleri kurcalayan bir merakla okur.</t>
  </si>
  <si>
    <t xml:space="preserve">BB-26</t>
  </si>
  <si>
    <t xml:space="preserve">çok kıllı/gür</t>
  </si>
  <si>
    <t xml:space="preserve">kederli, gönlü kırık</t>
  </si>
  <si>
    <t xml:space="preserve">Gür kaş, metinde derin duygululuğa işarettir.</t>
  </si>
  <si>
    <t xml:space="preserve">BB-27</t>
  </si>
  <si>
    <t xml:space="preserve">aralıklı / bitişik</t>
  </si>
  <si>
    <t xml:space="preserve">aralıklı/açık-&gt;dürüst | bitişik/çatık-&gt;hırsızlık iması (GÖSTERME)</t>
  </si>
  <si>
    <t xml:space="preserve">Aralıklı kaş metinde doğruluğun işaretidir.</t>
  </si>
  <si>
    <t xml:space="preserve">Bitişik kaş hükmü suç iması içerir; motor yalnız olumlu değeri kullanmalı</t>
  </si>
  <si>
    <t xml:space="preserve">BB-28</t>
  </si>
  <si>
    <t xml:space="preserve">ince / ince+uzun</t>
  </si>
  <si>
    <t xml:space="preserve">ince-&gt;güzel | ince ve uzun-&gt;kibir işareti</t>
  </si>
  <si>
    <t xml:space="preserve">İnce kaş metinde güzelliktendir; fazlaca uzunu gurura yorulur.</t>
  </si>
  <si>
    <t xml:space="preserve">BB-29</t>
  </si>
  <si>
    <t xml:space="preserve">kavisli/yay</t>
  </si>
  <si>
    <t xml:space="preserve">çekici (dilber)</t>
  </si>
  <si>
    <t xml:space="preserve">Yay kaş, metinde her dem alımlılığın işaretidir.</t>
  </si>
  <si>
    <t xml:space="preserve">BB-30</t>
  </si>
  <si>
    <t xml:space="preserve">göz</t>
  </si>
  <si>
    <t xml:space="preserve">çukur ve küçük</t>
  </si>
  <si>
    <t xml:space="preserve">kibir</t>
  </si>
  <si>
    <t xml:space="preserve">Metin çukur ve küçük gözü kendine fazla güvene yorar.</t>
  </si>
  <si>
    <t xml:space="preserve">BB-31</t>
  </si>
  <si>
    <t xml:space="preserve">göz rengi</t>
  </si>
  <si>
    <t xml:space="preserve">siyah / kanlı-kızıl</t>
  </si>
  <si>
    <t xml:space="preserve">siyah-&gt;uyumlu, itaatkâr | kanlı/kızıl-&gt;yiğitlik</t>
  </si>
  <si>
    <t xml:space="preserve">Göz rengi hükümleri köken iması taşıyabilir; 'kanlı göz' ayrıca sağlık durumu</t>
  </si>
  <si>
    <t xml:space="preserve">BB-32</t>
  </si>
  <si>
    <t xml:space="preserve">gök / elâ</t>
  </si>
  <si>
    <t xml:space="preserve">gök-&gt;zeki | elâ-&gt;edepli</t>
  </si>
  <si>
    <t xml:space="preserve">Renk temelli hüküm + BB-49 ile çelişki</t>
  </si>
  <si>
    <t xml:space="preserve">BB-33</t>
  </si>
  <si>
    <t xml:space="preserve">küçük / büyük</t>
  </si>
  <si>
    <t xml:space="preserve">küçük-&gt;hafif kişilik | büyük-&gt;zarif</t>
  </si>
  <si>
    <t xml:space="preserve">Metin büyük gözü zarafetle, küçük gözü uçarılıkla eşler.</t>
  </si>
  <si>
    <t xml:space="preserve">BB-34</t>
  </si>
  <si>
    <t xml:space="preserve">patlak / orta</t>
  </si>
  <si>
    <t xml:space="preserve">patlak/yumru-&gt;hasetçi | orta-&gt;vefalı dost</t>
  </si>
  <si>
    <t xml:space="preserve">Orta gözlü, metinde gerçek dosttur.</t>
  </si>
  <si>
    <t xml:space="preserve">Patlak göz tiroid vb. sağlık durumu olabilir - ağırlık düşük</t>
  </si>
  <si>
    <t xml:space="preserve">BB-35</t>
  </si>
  <si>
    <t xml:space="preserve">kısık / süzgün bakış</t>
  </si>
  <si>
    <t xml:space="preserve">kısık (kıpık)-&gt;yaramaz | süzgün bakış-&gt;zarif, süslü</t>
  </si>
  <si>
    <t xml:space="preserve">Süzgün bakış metinde zarafete yorulur.</t>
  </si>
  <si>
    <t xml:space="preserve">BB-36</t>
  </si>
  <si>
    <t xml:space="preserve">benekli iris</t>
  </si>
  <si>
    <t xml:space="preserve">nazarı değer (folklorik)</t>
  </si>
  <si>
    <t xml:space="preserve">Benekli göz, metinde ok gibidir: baktığı yere değer.</t>
  </si>
  <si>
    <t xml:space="preserve">Eğlencelik folklor; hüküm değil</t>
  </si>
  <si>
    <t xml:space="preserve">BB-37a</t>
  </si>
  <si>
    <t xml:space="preserve">tek gözlü</t>
  </si>
  <si>
    <t xml:space="preserve">(metin: uzak dur)</t>
  </si>
  <si>
    <t xml:space="preserve">Engellilik ayrımcılığı</t>
  </si>
  <si>
    <t xml:space="preserve">BB-37b</t>
  </si>
  <si>
    <t xml:space="preserve">bakış davranışı</t>
  </si>
  <si>
    <t xml:space="preserve">sık sık/dik dik bakan</t>
  </si>
  <si>
    <t xml:space="preserve">güvenilmez</t>
  </si>
  <si>
    <t xml:space="preserve">Metin ısrarlı bakışı temkinle karşılar.</t>
  </si>
  <si>
    <t xml:space="preserve">Davranış kuralı; kameradan değil öz-değerlendirmeden</t>
  </si>
  <si>
    <t xml:space="preserve">BB-38</t>
  </si>
  <si>
    <t xml:space="preserve">şaşı</t>
  </si>
  <si>
    <t xml:space="preserve">(metin: eğri bakar)</t>
  </si>
  <si>
    <t xml:space="preserve">Tıbbi durum (şaşılık) üzerinden ayrımcılık</t>
  </si>
  <si>
    <t xml:space="preserve">BB-39</t>
  </si>
  <si>
    <t xml:space="preserve">güleç / sık kirpik</t>
  </si>
  <si>
    <t xml:space="preserve">güleç-&gt;güzel | kirpiği sık-&gt;eşsiz</t>
  </si>
  <si>
    <t xml:space="preserve">Güleç göz ve sık kirpik, metinde alımlılığın zirvesidir.</t>
  </si>
  <si>
    <t xml:space="preserve">BB-40a</t>
  </si>
  <si>
    <t xml:space="preserve">yüz</t>
  </si>
  <si>
    <t xml:space="preserve">(metin: hastalıklı)</t>
  </si>
  <si>
    <t xml:space="preserve">Sağlık iması</t>
  </si>
  <si>
    <t xml:space="preserve">BB-40b</t>
  </si>
  <si>
    <t xml:space="preserve">Metin küçük yüzü kendine düşkünlüğe yorar.</t>
  </si>
  <si>
    <t xml:space="preserve">BB-41</t>
  </si>
  <si>
    <t xml:space="preserve">yumru / yassı</t>
  </si>
  <si>
    <t xml:space="preserve">yumru-&gt;cimri (bahil) | yassı/düz-&gt;güzel</t>
  </si>
  <si>
    <t xml:space="preserve">Düz hatlı yüz metinde makbuldür.</t>
  </si>
  <si>
    <t xml:space="preserve">Çeviride OCR bozuk ('anak'); beyitten alındı: bahil=cimri</t>
  </si>
  <si>
    <t xml:space="preserve">BB-42</t>
  </si>
  <si>
    <t xml:space="preserve">zayıf / etli</t>
  </si>
  <si>
    <t xml:space="preserve">zayıf/arık-&gt;sözünde durmaz (muhil) | etli-&gt;ağır, hantal (sakil)</t>
  </si>
  <si>
    <t xml:space="preserve">Metin iki ucu da eleştirir; ölçü yine ortadadır.</t>
  </si>
  <si>
    <t xml:space="preserve">Kilo iması - ağırlığı düşük tut</t>
  </si>
  <si>
    <t xml:space="preserve">BB-43</t>
  </si>
  <si>
    <t xml:space="preserve">çok uzun</t>
  </si>
  <si>
    <t xml:space="preserve">yalan katan (laf ile söyler)</t>
  </si>
  <si>
    <t xml:space="preserve">Metin çok uzun yüzü anlatırken süslemeye yorar.</t>
  </si>
  <si>
    <t xml:space="preserve">BB-44</t>
  </si>
  <si>
    <t xml:space="preserve">yüz ifadesi</t>
  </si>
  <si>
    <t xml:space="preserve">sert/asık</t>
  </si>
  <si>
    <t xml:space="preserve">sözü acı</t>
  </si>
  <si>
    <t xml:space="preserve">Sert çehre, metinde keskin dille eşleşir.</t>
  </si>
  <si>
    <t xml:space="preserve">BB-45</t>
  </si>
  <si>
    <t xml:space="preserve">değirmi/yuvarlak</t>
  </si>
  <si>
    <t xml:space="preserve">makbul, nurlu</t>
  </si>
  <si>
    <t xml:space="preserve">Yuvarlak yüz, metinde dolunay gibi makbuldür.</t>
  </si>
  <si>
    <t xml:space="preserve">BB-46</t>
  </si>
  <si>
    <t xml:space="preserve">mütebessim</t>
  </si>
  <si>
    <t xml:space="preserve">görene huzur verir</t>
  </si>
  <si>
    <t xml:space="preserve">Tebessümlü yüz, metne göre bakanı rahatlatır.</t>
  </si>
  <si>
    <t xml:space="preserve">BB-47</t>
  </si>
  <si>
    <t xml:space="preserve">ten rengi</t>
  </si>
  <si>
    <t xml:space="preserve">kızıl / esmer</t>
  </si>
  <si>
    <t xml:space="preserve">kızıl-&gt;edepli | esmer-&gt;zeki</t>
  </si>
  <si>
    <t xml:space="preserve">Ten rengi -&gt; ırk/köken çıkarımı riski (AB YZ Yasası yasak kategorisi) + etik</t>
  </si>
  <si>
    <t xml:space="preserve">BB-48</t>
  </si>
  <si>
    <t xml:space="preserve">sarı / koyu</t>
  </si>
  <si>
    <t xml:space="preserve">sarı-&gt;hastalıklı | koyuya çalan-&gt;tevekkül</t>
  </si>
  <si>
    <t xml:space="preserve">Ten rengi + sağlık iması</t>
  </si>
  <si>
    <t xml:space="preserve">BB-49</t>
  </si>
  <si>
    <t xml:space="preserve">gök/çakır</t>
  </si>
  <si>
    <t xml:space="preserve">Renk temelli dışlayıcı hüküm; BB-32 ile açık çelişki</t>
  </si>
  <si>
    <t xml:space="preserve">BB-50</t>
  </si>
  <si>
    <t xml:space="preserve">mutedil (ak-al)</t>
  </si>
  <si>
    <t xml:space="preserve">makbul</t>
  </si>
  <si>
    <t xml:space="preserve">Ten rengi hükmü</t>
  </si>
  <si>
    <t xml:space="preserve">BB-51</t>
  </si>
  <si>
    <t xml:space="preserve">burun</t>
  </si>
  <si>
    <t xml:space="preserve">Metin uzun burnu ağır kavrayışla eşler.</t>
  </si>
  <si>
    <t xml:space="preserve">yumuşatılmalı</t>
  </si>
  <si>
    <t xml:space="preserve">BB-52</t>
  </si>
  <si>
    <t xml:space="preserve">içi korku dolu</t>
  </si>
  <si>
    <t xml:space="preserve">Kısa burun, metinde temkinli ve ürkek bir tabiata işarettir.</t>
  </si>
  <si>
    <t xml:space="preserve">BB-53</t>
  </si>
  <si>
    <t xml:space="preserve">ucu yuvarlak/top</t>
  </si>
  <si>
    <t xml:space="preserve">neşeli</t>
  </si>
  <si>
    <t xml:space="preserve">Top burun ucu, metinde neşenin işaretidir.</t>
  </si>
  <si>
    <t xml:space="preserve">BB-54</t>
  </si>
  <si>
    <t xml:space="preserve">ucu ağza yakın/düşük</t>
  </si>
  <si>
    <t xml:space="preserve">sakınılası</t>
  </si>
  <si>
    <t xml:space="preserve">Metin düşük burun ucunu temkinle karşılar.</t>
  </si>
  <si>
    <t xml:space="preserve">BB-55</t>
  </si>
  <si>
    <t xml:space="preserve">delikleri geniş</t>
  </si>
  <si>
    <t xml:space="preserve">kibir | haset</t>
  </si>
  <si>
    <t xml:space="preserve">Geniş burun deliği, metinde gurur ve kıskançlıkla eşleşir.</t>
  </si>
  <si>
    <t xml:space="preserve">BB-56</t>
  </si>
  <si>
    <t xml:space="preserve">kanatları oynak</t>
  </si>
  <si>
    <t xml:space="preserve">öfke | inat</t>
  </si>
  <si>
    <t xml:space="preserve">Oynak burun kanadı, metinde öfkeyle inadın buluşmasıdır.</t>
  </si>
  <si>
    <t xml:space="preserve">BB-57</t>
  </si>
  <si>
    <t xml:space="preserve">yayvan/geniş</t>
  </si>
  <si>
    <t xml:space="preserve">şehvet düşkünü</t>
  </si>
  <si>
    <t xml:space="preserve">Cinsellik iması + geniş burun hükmü köken iması taşıyabilir</t>
  </si>
  <si>
    <t xml:space="preserve">BB-58</t>
  </si>
  <si>
    <t xml:space="preserve">eğri/kemerli</t>
  </si>
  <si>
    <t xml:space="preserve">yüksek gayeli (himmet)</t>
  </si>
  <si>
    <t xml:space="preserve">Kemerli burun, metinde büyük hedeflerin peşinde koşan bir himmete işarettir.</t>
  </si>
  <si>
    <t xml:space="preserve">BB-59</t>
  </si>
  <si>
    <t xml:space="preserve">ağız</t>
  </si>
  <si>
    <t xml:space="preserve">güzel | korkak</t>
  </si>
  <si>
    <t xml:space="preserve">Küçük ağız metinde güzelliktendir ama ürkek bir yürekle gelir.</t>
  </si>
  <si>
    <t xml:space="preserve">BB-60</t>
  </si>
  <si>
    <t xml:space="preserve">büyük / eğri</t>
  </si>
  <si>
    <t xml:space="preserve">büyük-&gt;yiğit | eğri-&gt;kötü (GÖSTERME - asimetri tıbbi olabilir)</t>
  </si>
  <si>
    <t xml:space="preserve">Büyük ağız metinde yiğitliğin işaretidir.</t>
  </si>
  <si>
    <t xml:space="preserve">Eğri ağız felç vb. tıbbi durum olabilir; motor yalnız 'büyük' değerini kullanmalı</t>
  </si>
  <si>
    <t xml:space="preserve">BB-61</t>
  </si>
  <si>
    <t xml:space="preserve">mahrem benzetme</t>
  </si>
  <si>
    <t xml:space="preserve">-</t>
  </si>
  <si>
    <t xml:space="preserve">(kayıt amaçlı)</t>
  </si>
  <si>
    <t xml:space="preserve">Mahrem içerik</t>
  </si>
  <si>
    <t xml:space="preserve">BB-62</t>
  </si>
  <si>
    <t xml:space="preserve">ses</t>
  </si>
  <si>
    <t xml:space="preserve">genizden konuşma</t>
  </si>
  <si>
    <t xml:space="preserve">ses_kaydi</t>
  </si>
  <si>
    <t xml:space="preserve">Genizden gelen ses, metinde kibir habercisidir.</t>
  </si>
  <si>
    <t xml:space="preserve">BB-63</t>
  </si>
  <si>
    <t xml:space="preserve">ince sesli erkek</t>
  </si>
  <si>
    <t xml:space="preserve">(kayıt amaçlı: şehvet)</t>
  </si>
  <si>
    <t xml:space="preserve">Cinsiyet + cinsellik iması</t>
  </si>
  <si>
    <t xml:space="preserve">BB-64</t>
  </si>
  <si>
    <t xml:space="preserve">kalın sesli kadın</t>
  </si>
  <si>
    <t xml:space="preserve">(kayıt amaçlı: yalancı)</t>
  </si>
  <si>
    <t xml:space="preserve">Cinsiyet genellemesi</t>
  </si>
  <si>
    <t xml:space="preserve">BB-65</t>
  </si>
  <si>
    <t xml:space="preserve">konuşma</t>
  </si>
  <si>
    <t xml:space="preserve">hızlı/akıcı</t>
  </si>
  <si>
    <t xml:space="preserve">anlayışı yüksek</t>
  </si>
  <si>
    <t xml:space="preserve">Sözü hızlı toparlayan, metinde yüksek kavrayış sahibidir.</t>
  </si>
  <si>
    <t xml:space="preserve">BB-66</t>
  </si>
  <si>
    <t xml:space="preserve">kalın/gür</t>
  </si>
  <si>
    <t xml:space="preserve">himmetli, gayretli</t>
  </si>
  <si>
    <t xml:space="preserve">Gür ses, metinde gayret ve himmet işaretidir.</t>
  </si>
  <si>
    <t xml:space="preserve">BB-67</t>
  </si>
  <si>
    <t xml:space="preserve">çatal/kırık</t>
  </si>
  <si>
    <t xml:space="preserve">halka kötülük eder</t>
  </si>
  <si>
    <t xml:space="preserve">Metin çatal sesi temkinle karşılar.</t>
  </si>
  <si>
    <t xml:space="preserve">Ses kısıklığı sağlık kaynaklı olabilir - ağırlık düşük</t>
  </si>
  <si>
    <t xml:space="preserve">BB-68</t>
  </si>
  <si>
    <t xml:space="preserve">davranış</t>
  </si>
  <si>
    <t xml:space="preserve">çok gülen</t>
  </si>
  <si>
    <t xml:space="preserve">hayâsı az</t>
  </si>
  <si>
    <t xml:space="preserve">Metne göre neşesi hayâsının önüne geçen, ölçüyü kaçırır.</t>
  </si>
  <si>
    <t xml:space="preserve">BB-69</t>
  </si>
  <si>
    <t xml:space="preserve">güleç yüz + tatlı söz</t>
  </si>
  <si>
    <t xml:space="preserve">aziz kişi</t>
  </si>
  <si>
    <t xml:space="preserve">Güleç yüzle tatlı dili birleştiren, metinde aziz tutulur.</t>
  </si>
  <si>
    <t xml:space="preserve">BB-70</t>
  </si>
  <si>
    <t xml:space="preserve">dudak</t>
  </si>
  <si>
    <t xml:space="preserve">ince ve kırmızı</t>
  </si>
  <si>
    <t xml:space="preserve">kavrayışlı, öğrenmeye açık</t>
  </si>
  <si>
    <t xml:space="preserve">İnce dudak, metinde dersini çabuk alan bir zihne işarettir.</t>
  </si>
  <si>
    <t xml:space="preserve">BB-71</t>
  </si>
  <si>
    <t xml:space="preserve">kalın/etli</t>
  </si>
  <si>
    <t xml:space="preserve">öfkeli (mugdıb) | ağır</t>
  </si>
  <si>
    <t xml:space="preserve">Kalın dudak, metinde çabuk parlayan bir mizaçla eşleşir.</t>
  </si>
  <si>
    <t xml:space="preserve">BB-72</t>
  </si>
  <si>
    <t xml:space="preserve">diş</t>
  </si>
  <si>
    <t xml:space="preserve">iri</t>
  </si>
  <si>
    <t xml:space="preserve">işleri yaman</t>
  </si>
  <si>
    <t xml:space="preserve">Metin iri dişi haşarılığa yorar.</t>
  </si>
  <si>
    <t xml:space="preserve">BB-73</t>
  </si>
  <si>
    <t xml:space="preserve">doğruluk, esenlik</t>
  </si>
  <si>
    <t xml:space="preserve">Orta diş, metinde doğruluk ve esenliğin işaretidir.</t>
  </si>
  <si>
    <t xml:space="preserve">BB-74</t>
  </si>
  <si>
    <t xml:space="preserve">koku</t>
  </si>
  <si>
    <t xml:space="preserve">güzel kokulu</t>
  </si>
  <si>
    <t xml:space="preserve">hoş huylu</t>
  </si>
  <si>
    <t xml:space="preserve">Metne göre kokusu hoş olanın huyu da hoştur.</t>
  </si>
  <si>
    <t xml:space="preserve">BB-75</t>
  </si>
  <si>
    <t xml:space="preserve">çene</t>
  </si>
  <si>
    <t xml:space="preserve">ince/sivri</t>
  </si>
  <si>
    <t xml:space="preserve">akıl hafif</t>
  </si>
  <si>
    <t xml:space="preserve">Metin ince çeneyi uçarı bir akılla eşler.</t>
  </si>
  <si>
    <t xml:space="preserve">BB-76</t>
  </si>
  <si>
    <t xml:space="preserve">sert, kaba</t>
  </si>
  <si>
    <t xml:space="preserve">Enli çene, metinde sertliğe işarettir.</t>
  </si>
  <si>
    <t xml:space="preserve">BB-77</t>
  </si>
  <si>
    <t xml:space="preserve">orta/dengeli</t>
  </si>
  <si>
    <t xml:space="preserve">akıllı | güzel</t>
  </si>
  <si>
    <t xml:space="preserve">Dengeli çene, metinde aklın ve güzelliğin buluşmasıdır.</t>
  </si>
  <si>
    <t xml:space="preserve">BB-78</t>
  </si>
  <si>
    <t xml:space="preserve">sakal</t>
  </si>
  <si>
    <t xml:space="preserve">hünersiz</t>
  </si>
  <si>
    <t xml:space="preserve">Sakal dinî/kültürel sembol olabilir; olumsuz hüküm hassasiyet yaratır</t>
  </si>
  <si>
    <t xml:space="preserve">BB-79</t>
  </si>
  <si>
    <t xml:space="preserve">sık</t>
  </si>
  <si>
    <t xml:space="preserve">ağır, sözü uzatan</t>
  </si>
  <si>
    <t xml:space="preserve">Metne göre sakalı sık olan sohbeti uzattıkça uzatır.</t>
  </si>
  <si>
    <t xml:space="preserve">Sevimli/şakacı tonda sunulabilir</t>
  </si>
  <si>
    <t xml:space="preserve">BB-80</t>
  </si>
  <si>
    <t xml:space="preserve">siyah ve seyrek</t>
  </si>
  <si>
    <t xml:space="preserve">zekâ delili</t>
  </si>
  <si>
    <t xml:space="preserve">Renk bileşeni (bkz. BB-06)</t>
  </si>
  <si>
    <t xml:space="preserve">BB-81</t>
  </si>
  <si>
    <t xml:space="preserve">köse</t>
  </si>
  <si>
    <t xml:space="preserve">hilesi çok</t>
  </si>
  <si>
    <t xml:space="preserve">Doğal/hormonal görünüm üzerinden olumsuz hüküm</t>
  </si>
  <si>
    <t xml:space="preserve">BB-82</t>
  </si>
  <si>
    <t xml:space="preserve">olgunluk dolu</t>
  </si>
  <si>
    <t xml:space="preserve">Değirmi sakal, metinde kemâl işaretidir.</t>
  </si>
  <si>
    <t xml:space="preserve">BB-83</t>
  </si>
  <si>
    <t xml:space="preserve">yayvan/geniş kafa</t>
  </si>
  <si>
    <t xml:space="preserve">ahmaklık iması</t>
  </si>
  <si>
    <t xml:space="preserve">Metin yayvan kafayı ağır kavrayışla eşler.</t>
  </si>
  <si>
    <t xml:space="preserve">BB-12 ile gerilim; yumuşatılmalı</t>
  </si>
  <si>
    <t xml:space="preserve">BB-84</t>
  </si>
  <si>
    <t xml:space="preserve">boyun</t>
  </si>
  <si>
    <t xml:space="preserve">olgunluğu az</t>
  </si>
  <si>
    <t xml:space="preserve">Metin çok uzun boynu toyluğa yorar.</t>
  </si>
  <si>
    <t xml:space="preserve">BB-85</t>
  </si>
  <si>
    <t xml:space="preserve">ince gerdan</t>
  </si>
  <si>
    <t xml:space="preserve">bilgisiz (nâdân)</t>
  </si>
  <si>
    <t xml:space="preserve">İnce gerdan, metinde el değmemiş bir toyluğa işarettir.</t>
  </si>
  <si>
    <t xml:space="preserve">BB-86</t>
  </si>
  <si>
    <t xml:space="preserve">kalın</t>
  </si>
  <si>
    <t xml:space="preserve">obur (ekûl)</t>
  </si>
  <si>
    <t xml:space="preserve">Kalın boyun, metinde sofra sevgisiyle eşleşir - hayattan tat alan bir iştah.</t>
  </si>
  <si>
    <t xml:space="preserve">BB-87</t>
  </si>
  <si>
    <t xml:space="preserve">Metin kısa boynu kurnazlığa yorar.</t>
  </si>
  <si>
    <t xml:space="preserve">BB-88</t>
  </si>
  <si>
    <t xml:space="preserve">hayırlı işlerle uğraşır</t>
  </si>
  <si>
    <t xml:space="preserve">Orta boyun, metinde hayra çalışan bir ömrün işaretidir.</t>
  </si>
  <si>
    <t xml:space="preserve">BB-89</t>
  </si>
  <si>
    <t xml:space="preserve">genel</t>
  </si>
  <si>
    <t xml:space="preserve">her uzvu orta/dengeli</t>
  </si>
  <si>
    <t xml:space="preserve">kusursuz, çekici (dilber)</t>
  </si>
  <si>
    <t xml:space="preserve">Kıyafetnamenin altın kuralı: her yeri ölçülü olan, şüphesiz gönül çeler.</t>
  </si>
  <si>
    <t xml:space="preserve">Kural motorunun 'itidal bonusu' buradan türetilir</t>
  </si>
  <si>
    <t xml:space="preserve">DU-01</t>
  </si>
  <si>
    <t xml:space="preserve">omuz</t>
  </si>
  <si>
    <t xml:space="preserve">sivri</t>
  </si>
  <si>
    <t xml:space="preserve">hırsızlık iması (GÖSTERME)</t>
  </si>
  <si>
    <t xml:space="preserve">Suç iması</t>
  </si>
  <si>
    <t xml:space="preserve">DU-02</t>
  </si>
  <si>
    <t xml:space="preserve">eğri</t>
  </si>
  <si>
    <t xml:space="preserve">işi eğrilik</t>
  </si>
  <si>
    <t xml:space="preserve">Metin eğri omzu düz olmayan işlere yorar.</t>
  </si>
  <si>
    <t xml:space="preserve">Postür sağlık kaynaklı olabilir - ağırlık düşük</t>
  </si>
  <si>
    <t xml:space="preserve">DU-03</t>
  </si>
  <si>
    <t xml:space="preserve">kısa / düşük</t>
  </si>
  <si>
    <t xml:space="preserve">kısa-&gt;saf (ebleh) | düşük-&gt;kendine güveni düşük</t>
  </si>
  <si>
    <t xml:space="preserve">Metin dik ve dengeli omzu makbul sayar.</t>
  </si>
  <si>
    <t xml:space="preserve">DU-04</t>
  </si>
  <si>
    <t xml:space="preserve">imaları çabuk kavrar, sır anlar</t>
  </si>
  <si>
    <t xml:space="preserve">Dengeli omuz, metinde satır arasını okuyan bir kavrayışa işarettir.</t>
  </si>
  <si>
    <t xml:space="preserve">DU-05</t>
  </si>
  <si>
    <t xml:space="preserve">kol</t>
  </si>
  <si>
    <t xml:space="preserve">eğri ve kısa</t>
  </si>
  <si>
    <t xml:space="preserve">şerli</t>
  </si>
  <si>
    <t xml:space="preserve">Metin bu hattı huysuzluğa yorar.</t>
  </si>
  <si>
    <t xml:space="preserve">DU-06</t>
  </si>
  <si>
    <t xml:space="preserve">bilek</t>
  </si>
  <si>
    <t xml:space="preserve">cömert (istemeden verir)</t>
  </si>
  <si>
    <t xml:space="preserve">kamera_el</t>
  </si>
  <si>
    <t xml:space="preserve">Uzun bilek, metinde eli açıklığın işaretidir.</t>
  </si>
  <si>
    <t xml:space="preserve">DU-07</t>
  </si>
  <si>
    <t xml:space="preserve">el</t>
  </si>
  <si>
    <t xml:space="preserve">eşsiz güzel</t>
  </si>
  <si>
    <t xml:space="preserve">Küçük el, metinde az bulunur bir zarafettir.</t>
  </si>
  <si>
    <t xml:space="preserve">DU-08</t>
  </si>
  <si>
    <t xml:space="preserve">parmak</t>
  </si>
  <si>
    <t xml:space="preserve">hünerli, çok yönlü (zî-fünûn)</t>
  </si>
  <si>
    <t xml:space="preserve">Uzun parmak, metinde marifetin ve el becerisinin işaretidir.</t>
  </si>
  <si>
    <t xml:space="preserve">DU-09</t>
  </si>
  <si>
    <t xml:space="preserve">yumuşak</t>
  </si>
  <si>
    <t xml:space="preserve">çok zeki</t>
  </si>
  <si>
    <t xml:space="preserve">Yumuşak parmak, metinde keskin zekâya işarettir.</t>
  </si>
  <si>
    <t xml:space="preserve">DU-10</t>
  </si>
  <si>
    <t xml:space="preserve">tırnak</t>
  </si>
  <si>
    <t xml:space="preserve">ince (enli değil)</t>
  </si>
  <si>
    <t xml:space="preserve">her dem sevilen</t>
  </si>
  <si>
    <t xml:space="preserve">İnce tırnak, metinde sabah akşam sevilecek bir tabiata işarettir.</t>
  </si>
  <si>
    <t xml:space="preserve">DU-11</t>
  </si>
  <si>
    <t xml:space="preserve">yumru ve çizik</t>
  </si>
  <si>
    <t xml:space="preserve">(kayıt amaçlı: acımasız)</t>
  </si>
  <si>
    <t xml:space="preserve">Tırnak dokusu sağlık göstergesidir - sağlık iması riski</t>
  </si>
  <si>
    <t xml:space="preserve">DU-12</t>
  </si>
  <si>
    <t xml:space="preserve">yassı ve düz</t>
  </si>
  <si>
    <t xml:space="preserve">eli uz, becerikli</t>
  </si>
  <si>
    <t xml:space="preserve">Düz tırnak, metinde becerikli ellerin işaretidir.</t>
  </si>
  <si>
    <t xml:space="preserve">DU-13</t>
  </si>
  <si>
    <t xml:space="preserve">göğüs</t>
  </si>
  <si>
    <t xml:space="preserve">çıkık</t>
  </si>
  <si>
    <t xml:space="preserve">huy kötü</t>
  </si>
  <si>
    <t xml:space="preserve">Metin bunu zorlu bir mizaca yorar.</t>
  </si>
  <si>
    <t xml:space="preserve">DU-14</t>
  </si>
  <si>
    <t xml:space="preserve">gamlı, sıkıntılı</t>
  </si>
  <si>
    <t xml:space="preserve">Dar göğüs, metinde gece gündüz dert taşımaya işarettir.</t>
  </si>
  <si>
    <t xml:space="preserve">DU-15</t>
  </si>
  <si>
    <t xml:space="preserve">geniş</t>
  </si>
  <si>
    <t xml:space="preserve">gönlü ferah, üzülmez</t>
  </si>
  <si>
    <t xml:space="preserve">Geniş göğüs, metinde ferah bir gönlün işaretidir.</t>
  </si>
  <si>
    <t xml:space="preserve">DU-16</t>
  </si>
  <si>
    <t xml:space="preserve">göğüs/omuz kılı</t>
  </si>
  <si>
    <t xml:space="preserve">kıllı</t>
  </si>
  <si>
    <t xml:space="preserve">cesur (cüret)</t>
  </si>
  <si>
    <t xml:space="preserve">Metne göre göğsü kıllı olanın yüreği de pektir.</t>
  </si>
  <si>
    <t xml:space="preserve">DU-17</t>
  </si>
  <si>
    <t xml:space="preserve">mahrem (kadın)</t>
  </si>
  <si>
    <t xml:space="preserve">Mahrem bölge + cinsiyet + cinsellik</t>
  </si>
  <si>
    <t xml:space="preserve">DU-18</t>
  </si>
  <si>
    <t xml:space="preserve">(kayıt amaçlı: süt/emzirme hükmü)</t>
  </si>
  <si>
    <t xml:space="preserve">Mahrem + sağlık iması</t>
  </si>
  <si>
    <t xml:space="preserve">DU-19</t>
  </si>
  <si>
    <t xml:space="preserve">DU-20</t>
  </si>
  <si>
    <t xml:space="preserve">(kayıt amaçlı: doğurganlık hükmü)</t>
  </si>
  <si>
    <t xml:space="preserve">DU-21</t>
  </si>
  <si>
    <t xml:space="preserve">Mahrem</t>
  </si>
  <si>
    <t xml:space="preserve">DU-22</t>
  </si>
  <si>
    <t xml:space="preserve">ten/et</t>
  </si>
  <si>
    <t xml:space="preserve">mülayim/uyumlu</t>
  </si>
  <si>
    <t xml:space="preserve">canı hoş, uyumlu</t>
  </si>
  <si>
    <t xml:space="preserve">Yumuşacık ten, metinde uyumlu bir cana işarettir.</t>
  </si>
  <si>
    <t xml:space="preserve">DU-23</t>
  </si>
  <si>
    <t xml:space="preserve">hoş ve lâtif</t>
  </si>
  <si>
    <t xml:space="preserve">Lâtif ten, metinde irfan ve zarafetle eşleşir.</t>
  </si>
  <si>
    <t xml:space="preserve">DU-24</t>
  </si>
  <si>
    <t xml:space="preserve">katı/sert</t>
  </si>
  <si>
    <t xml:space="preserve">kaba ama güçlü</t>
  </si>
  <si>
    <t xml:space="preserve">Sert et, metinde kaba kuvvetin işaretidir.</t>
  </si>
  <si>
    <t xml:space="preserve">DU-25</t>
  </si>
  <si>
    <t xml:space="preserve">sırt</t>
  </si>
  <si>
    <t xml:space="preserve">yassı</t>
  </si>
  <si>
    <t xml:space="preserve">keyfine düşkün (sefahat)</t>
  </si>
  <si>
    <t xml:space="preserve">Metin yassı sırtı keyif düşkünlüğüne yorar.</t>
  </si>
  <si>
    <t xml:space="preserve">DU-26</t>
  </si>
  <si>
    <t xml:space="preserve">kambur</t>
  </si>
  <si>
    <t xml:space="preserve">Engellilik/omurga durumu üzerinden ayrımcılık</t>
  </si>
  <si>
    <t xml:space="preserve">DU-27</t>
  </si>
  <si>
    <t xml:space="preserve">kuvvetli</t>
  </si>
  <si>
    <t xml:space="preserve">Geniş sırt, metinde kuvvetin işaretidir.</t>
  </si>
  <si>
    <t xml:space="preserve">DU-28</t>
  </si>
  <si>
    <t xml:space="preserve">bel</t>
  </si>
  <si>
    <t xml:space="preserve">ince</t>
  </si>
  <si>
    <t xml:space="preserve">değişken, kalıptan kalıba girer</t>
  </si>
  <si>
    <t xml:space="preserve">İnce bel, metinde esnek ve değişken bir tabiata işarettir.</t>
  </si>
  <si>
    <t xml:space="preserve">DU-29</t>
  </si>
  <si>
    <t xml:space="preserve">sırt kılı</t>
  </si>
  <si>
    <t xml:space="preserve">Cinsellik iması</t>
  </si>
  <si>
    <t xml:space="preserve">DU-30</t>
  </si>
  <si>
    <t xml:space="preserve">karın</t>
  </si>
  <si>
    <t xml:space="preserve">büyük / küçük</t>
  </si>
  <si>
    <t xml:space="preserve">büyük-&gt;anlayışsız (gabi) | küçük-&gt;kibar (çelebi)</t>
  </si>
  <si>
    <t xml:space="preserve">Kilo/beden imajı damgalama riski</t>
  </si>
  <si>
    <t xml:space="preserve">DU-31</t>
  </si>
  <si>
    <t xml:space="preserve">karın+boy</t>
  </si>
  <si>
    <t xml:space="preserve">karnı büyük ve kısa boylu</t>
  </si>
  <si>
    <t xml:space="preserve">(kayıt amaçlı: kötü huy, zorba)</t>
  </si>
  <si>
    <t xml:space="preserve">Kilo/beden imajı damgalama</t>
  </si>
  <si>
    <t xml:space="preserve">DU-32</t>
  </si>
  <si>
    <t xml:space="preserve">mahrem</t>
  </si>
  <si>
    <t xml:space="preserve">DU-33</t>
  </si>
  <si>
    <t xml:space="preserve">uyluk</t>
  </si>
  <si>
    <t xml:space="preserve">enli</t>
  </si>
  <si>
    <t xml:space="preserve">(kayıt amaçlı: tembel)</t>
  </si>
  <si>
    <t xml:space="preserve">Beden imajı</t>
  </si>
  <si>
    <t xml:space="preserve">DU-34</t>
  </si>
  <si>
    <t xml:space="preserve">mahrem (erkek)</t>
  </si>
  <si>
    <t xml:space="preserve">Mahrem bölge</t>
  </si>
  <si>
    <t xml:space="preserve">DU-35</t>
  </si>
  <si>
    <t xml:space="preserve">DU-36</t>
  </si>
  <si>
    <t xml:space="preserve">DU-37</t>
  </si>
  <si>
    <t xml:space="preserve">DU-38</t>
  </si>
  <si>
    <t xml:space="preserve">DU-39</t>
  </si>
  <si>
    <t xml:space="preserve">DU-40</t>
  </si>
  <si>
    <t xml:space="preserve">DU-41</t>
  </si>
  <si>
    <t xml:space="preserve">(kayıt amaçlı: şehveti az)</t>
  </si>
  <si>
    <t xml:space="preserve">DU-42</t>
  </si>
  <si>
    <t xml:space="preserve">kalça/duruş</t>
  </si>
  <si>
    <t xml:space="preserve">içi kibir ve haset</t>
  </si>
  <si>
    <t xml:space="preserve">Metin çarpık duruşu içte biriken kıskançlığa yorar.</t>
  </si>
  <si>
    <t xml:space="preserve">DU-43</t>
  </si>
  <si>
    <t xml:space="preserve">diz</t>
  </si>
  <si>
    <t xml:space="preserve">çok yük yüklenir</t>
  </si>
  <si>
    <t xml:space="preserve">Büyük diz, metinde omzuna çok yük alan bir tabiata işarettir.</t>
  </si>
  <si>
    <t xml:space="preserve">DU-44</t>
  </si>
  <si>
    <t xml:space="preserve">ayak</t>
  </si>
  <si>
    <t xml:space="preserve">sert</t>
  </si>
  <si>
    <t xml:space="preserve">lütfu az</t>
  </si>
  <si>
    <t xml:space="preserve">Sert ayak, metinde inceliğin azlığına yorulur.</t>
  </si>
  <si>
    <t xml:space="preserve">DU-45</t>
  </si>
  <si>
    <t xml:space="preserve">topuk</t>
  </si>
  <si>
    <t xml:space="preserve">etli (kadında)</t>
  </si>
  <si>
    <t xml:space="preserve">(kayıt amaçlı: işveli)</t>
  </si>
  <si>
    <t xml:space="preserve">Cinsiyete özgü + cinsellik iması</t>
  </si>
  <si>
    <t xml:space="preserve">DU-46</t>
  </si>
  <si>
    <t xml:space="preserve">ökçe</t>
  </si>
  <si>
    <t xml:space="preserve">ince/yufka</t>
  </si>
  <si>
    <t xml:space="preserve">İnce ökçe, metinde alımlılığın işaretidir.</t>
  </si>
  <si>
    <t xml:space="preserve">DU-47</t>
  </si>
  <si>
    <t xml:space="preserve">kahramanlıkta tek</t>
  </si>
  <si>
    <t xml:space="preserve">Kalın ökçe, metinde yiğitlikte eşsizliğe işarettir.</t>
  </si>
  <si>
    <t xml:space="preserve">DU-48</t>
  </si>
  <si>
    <t xml:space="preserve">zorba (cevr ü cefa)</t>
  </si>
  <si>
    <t xml:space="preserve">Metin enli ayağı sert mizaca yorar.</t>
  </si>
  <si>
    <t xml:space="preserve">DU-49</t>
  </si>
  <si>
    <t xml:space="preserve">hayâ sahibi</t>
  </si>
  <si>
    <t xml:space="preserve">Uzun ayak, metinde edep ve hayânın işaretidir.</t>
  </si>
  <si>
    <t xml:space="preserve">DU-50</t>
  </si>
  <si>
    <t xml:space="preserve">ayak parmağı</t>
  </si>
  <si>
    <t xml:space="preserve">anlayışlı, bilgili</t>
  </si>
  <si>
    <t xml:space="preserve">Uzun ayak parmağı, metinde kavrayış ve bilgiye işarettir.</t>
  </si>
  <si>
    <t xml:space="preserve">DU-51</t>
  </si>
  <si>
    <t xml:space="preserve">yürüyüş</t>
  </si>
  <si>
    <t xml:space="preserve">adımı küçük/dar</t>
  </si>
  <si>
    <t xml:space="preserve">gidişi hoş</t>
  </si>
  <si>
    <t xml:space="preserve">Küçük adım, metinde zarif bir yürüyüşün işaretidir.</t>
  </si>
  <si>
    <t xml:space="preserve">DU-52</t>
  </si>
  <si>
    <t xml:space="preserve">salınarak yürüme</t>
  </si>
  <si>
    <t xml:space="preserve">akılları hayran bırakır</t>
  </si>
  <si>
    <t xml:space="preserve">Salınarak yürüyen, metne göre görenin aklını başından alır.</t>
  </si>
  <si>
    <t xml:space="preserve">Soru / Öğe</t>
  </si>
  <si>
    <t xml:space="preserve">Tip</t>
  </si>
  <si>
    <t xml:space="preserve">Puanlama</t>
  </si>
  <si>
    <t xml:space="preserve">Kaynak</t>
  </si>
  <si>
    <t xml:space="preserve">T01</t>
  </si>
  <si>
    <t xml:space="preserve">Ellerim ve tenim genellikle sıcaktır.</t>
  </si>
  <si>
    <t xml:space="preserve">likert5</t>
  </si>
  <si>
    <t xml:space="preserve">sicak+1</t>
  </si>
  <si>
    <t xml:space="preserve">alâmet 1, s.472</t>
  </si>
  <si>
    <t xml:space="preserve">T02</t>
  </si>
  <si>
    <t xml:space="preserve">Soğuktan herkesten çabuk etkilenir, kolay üşürüm.</t>
  </si>
  <si>
    <t xml:space="preserve">soguk+1</t>
  </si>
  <si>
    <t xml:space="preserve">alâmet 6, s.473</t>
  </si>
  <si>
    <t xml:space="preserve">T03</t>
  </si>
  <si>
    <t xml:space="preserve">Saçım gür ve kalın tellidir.</t>
  </si>
  <si>
    <t xml:space="preserve">sicak+1, kuru+1</t>
  </si>
  <si>
    <t xml:space="preserve">alâmet 3, s.473</t>
  </si>
  <si>
    <t xml:space="preserve">T04</t>
  </si>
  <si>
    <t xml:space="preserve">Saçım ince telli ve yumuşaktır.</t>
  </si>
  <si>
    <t xml:space="preserve">soguk+1, nem+1</t>
  </si>
  <si>
    <t xml:space="preserve">T05</t>
  </si>
  <si>
    <t xml:space="preserve">Kolay kilo alırım; hatlarım yumuşaktır.</t>
  </si>
  <si>
    <t xml:space="preserve">nem+1</t>
  </si>
  <si>
    <t xml:space="preserve">alâmet 2, s.472</t>
  </si>
  <si>
    <t xml:space="preserve">T06</t>
  </si>
  <si>
    <t xml:space="preserve">Zor kilo alan, kuru/ince bir bedenim var.</t>
  </si>
  <si>
    <t xml:space="preserve">kuru+1</t>
  </si>
  <si>
    <t xml:space="preserve">T07</t>
  </si>
  <si>
    <t xml:space="preserve">Tepkim çabuk gelir; kolay parlarım.</t>
  </si>
  <si>
    <t xml:space="preserve">alâmet 10 (gadab), s.473</t>
  </si>
  <si>
    <t xml:space="preserve">T08</t>
  </si>
  <si>
    <t xml:space="preserve">Duygularım yavaş oluşur ama uzun süre kalır.</t>
  </si>
  <si>
    <t xml:space="preserve">alâmet 10 (sebat), s.473</t>
  </si>
  <si>
    <t xml:space="preserve">T09</t>
  </si>
  <si>
    <t xml:space="preserve">Duygularım çabuk gelir, çabuk geçer.</t>
  </si>
  <si>
    <t xml:space="preserve">alâmet 10, s.473</t>
  </si>
  <si>
    <t xml:space="preserve">T10</t>
  </si>
  <si>
    <t xml:space="preserve">Uykuyu çok severim; fırsat bulsam uzun uyurum.</t>
  </si>
  <si>
    <t xml:space="preserve">alâmet 8, s.473</t>
  </si>
  <si>
    <t xml:space="preserve">T11</t>
  </si>
  <si>
    <t xml:space="preserve">Az uykuyla idare ederim; geceleri zinde olurum.</t>
  </si>
  <si>
    <t xml:space="preserve">T12</t>
  </si>
  <si>
    <t xml:space="preserve">Hızlı ve bol konuşurum.</t>
  </si>
  <si>
    <t xml:space="preserve">T13</t>
  </si>
  <si>
    <t xml:space="preserve">Ağırbaşlı ve çekingen bulunurum.</t>
  </si>
  <si>
    <t xml:space="preserve">alâmet 10 (vakar-hayâ), s.473</t>
  </si>
  <si>
    <t xml:space="preserve">T14</t>
  </si>
  <si>
    <t xml:space="preserve">Kolay ürker, çabuk kaygılanırım.</t>
  </si>
  <si>
    <t xml:space="preserve">alâmet 10 (korkaklık=kuruluk), s.473</t>
  </si>
  <si>
    <t xml:space="preserve">T15</t>
  </si>
  <si>
    <t xml:space="preserve">Çabuk duygulanır, kolay gözlerim dolar.</t>
  </si>
  <si>
    <t xml:space="preserve">alâmet 10 (kalp yumuşaklığı=nem), s.473</t>
  </si>
  <si>
    <t xml:space="preserve">T16</t>
  </si>
  <si>
    <t xml:space="preserve">İştahım ve sindirimim güçlüdür.</t>
  </si>
  <si>
    <t xml:space="preserve">alâmet 7, s.473</t>
  </si>
  <si>
    <t xml:space="preserve">T17</t>
  </si>
  <si>
    <t xml:space="preserve">Sindirimim yavaştır; şişkinlik olur.</t>
  </si>
  <si>
    <t xml:space="preserve">balgam işaretleri, s.473</t>
  </si>
  <si>
    <t xml:space="preserve">T18</t>
  </si>
  <si>
    <t xml:space="preserve">Atılgan ve hareketli biriyimdir.</t>
  </si>
  <si>
    <t xml:space="preserve">alâmet 10 (cüret), s.473</t>
  </si>
  <si>
    <t xml:space="preserve">T19</t>
  </si>
  <si>
    <t xml:space="preserve">Yavaş ve sakin bir tempom vardır.</t>
  </si>
  <si>
    <t xml:space="preserve">T20</t>
  </si>
  <si>
    <t xml:space="preserve">Cildim kurumaya meyillidir.</t>
  </si>
  <si>
    <t xml:space="preserve">alâmet 1-2, s.472</t>
  </si>
  <si>
    <t xml:space="preserve">T21</t>
  </si>
  <si>
    <t xml:space="preserve">Cildim nemli/canlıdır; bol terlerim.</t>
  </si>
  <si>
    <t xml:space="preserve">sicak+1, nem+1</t>
  </si>
  <si>
    <t xml:space="preserve">kan işaretleri, s.473</t>
  </si>
  <si>
    <t xml:space="preserve">T22</t>
  </si>
  <si>
    <t xml:space="preserve">Sabah uyandığımda ağzımda en çok şu tat olur:</t>
  </si>
  <si>
    <t xml:space="preserve">secim</t>
  </si>
  <si>
    <t xml:space="preserve">tatlı-&gt;kan; tuzlu-&gt;balgam; acı-&gt;safra; ekşi-&gt;sevda; fark etmem-&gt;-</t>
  </si>
  <si>
    <t xml:space="preserve">hılt alâmetleri, s.473-474</t>
  </si>
  <si>
    <t xml:space="preserve">T23</t>
  </si>
  <si>
    <t xml:space="preserve">Rüyalarımda en sık şunlar olur:</t>
  </si>
  <si>
    <t xml:space="preserve">kırmızı, canlı sahneler-&gt;kan; su, kar, yağmur-&gt;balgam; ateş, güneş, sıcak-&gt;safra; duman, karanlık-&gt;sevda; hatırlamam-&gt;-</t>
  </si>
  <si>
    <t xml:space="preserve">T24</t>
  </si>
  <si>
    <t xml:space="preserve">Düşünceye dalar, kafamda çok senaryo kurarım.</t>
  </si>
  <si>
    <t xml:space="preserve">soguk+1, kuru+1</t>
  </si>
  <si>
    <t xml:space="preserve">sevda işaretleri (düşüncenin artması), s.474</t>
  </si>
  <si>
    <t xml:space="preserve">T25</t>
  </si>
  <si>
    <t xml:space="preserve">'Kanı sıcak' diye tarif edilirim.</t>
  </si>
  <si>
    <t xml:space="preserve">kan mizacı, s.473</t>
  </si>
  <si>
    <t xml:space="preserve">T26</t>
  </si>
  <si>
    <t xml:space="preserve">Tartışmada sesim yükselir, ateşli savunurum.</t>
  </si>
  <si>
    <t xml:space="preserve">safra işaretleri, s.474</t>
  </si>
  <si>
    <t xml:space="preserve">T27</t>
  </si>
  <si>
    <t xml:space="preserve">Beni bir şey kolay kolay sarsmaz; 'oralı olmaz' derler.</t>
  </si>
  <si>
    <t xml:space="preserve">balgam (tabiatı vurdumduymaz), s.473</t>
  </si>
  <si>
    <t xml:space="preserve">T28</t>
  </si>
  <si>
    <t xml:space="preserve">Midem tez ekşir, içim çabuk karışır.</t>
  </si>
  <si>
    <t xml:space="preserve">sevda işaretleri, s.474</t>
  </si>
  <si>
    <t xml:space="preserve">Uzuv</t>
  </si>
  <si>
    <t xml:space="preserve">Sağ</t>
  </si>
  <si>
    <t xml:space="preserve">Sol</t>
  </si>
  <si>
    <t xml:space="preserve">Not/Dikkat</t>
  </si>
  <si>
    <t xml:space="preserve">S-01</t>
  </si>
  <si>
    <t xml:space="preserve">başın üstü</t>
  </si>
  <si>
    <t xml:space="preserve">iyi makam-mevki haberi</t>
  </si>
  <si>
    <t xml:space="preserve">S-02</t>
  </si>
  <si>
    <t xml:space="preserve">başın ön tarafı</t>
  </si>
  <si>
    <t xml:space="preserve">talih/devlet bulma</t>
  </si>
  <si>
    <t xml:space="preserve">S-03</t>
  </si>
  <si>
    <t xml:space="preserve">başın yan tarafı</t>
  </si>
  <si>
    <t xml:space="preserve">hayır</t>
  </si>
  <si>
    <t xml:space="preserve">S-04</t>
  </si>
  <si>
    <t xml:space="preserve">eğlence, keyif</t>
  </si>
  <si>
    <t xml:space="preserve">haber</t>
  </si>
  <si>
    <t xml:space="preserve">S-05</t>
  </si>
  <si>
    <t xml:space="preserve">dostluk</t>
  </si>
  <si>
    <t xml:space="preserve">S-06</t>
  </si>
  <si>
    <t xml:space="preserve">iki kaş arası</t>
  </si>
  <si>
    <t xml:space="preserve">zevk</t>
  </si>
  <si>
    <t xml:space="preserve">keder</t>
  </si>
  <si>
    <t xml:space="preserve">S-07</t>
  </si>
  <si>
    <t xml:space="preserve">dil</t>
  </si>
  <si>
    <t xml:space="preserve">hüzün</t>
  </si>
  <si>
    <t xml:space="preserve">coşku, sevinç</t>
  </si>
  <si>
    <t xml:space="preserve">S-08</t>
  </si>
  <si>
    <t xml:space="preserve">göz üstü (kapak dışı)</t>
  </si>
  <si>
    <t xml:space="preserve">kınanma</t>
  </si>
  <si>
    <t xml:space="preserve">süslenme, ziynet</t>
  </si>
  <si>
    <t xml:space="preserve">S-09</t>
  </si>
  <si>
    <t xml:space="preserve">gözbebeği</t>
  </si>
  <si>
    <t xml:space="preserve">sıkıntı</t>
  </si>
  <si>
    <t xml:space="preserve">sevinç</t>
  </si>
  <si>
    <t xml:space="preserve">S-10</t>
  </si>
  <si>
    <t xml:space="preserve">göz kuyruğu</t>
  </si>
  <si>
    <t xml:space="preserve">sevinç (?)</t>
  </si>
  <si>
    <t xml:space="preserve">müjde/mal (?)</t>
  </si>
  <si>
    <t xml:space="preserve">nüshalar farklı</t>
  </si>
  <si>
    <t xml:space="preserve">S-11</t>
  </si>
  <si>
    <t xml:space="preserve">göz altı</t>
  </si>
  <si>
    <t xml:space="preserve">sevgi</t>
  </si>
  <si>
    <t xml:space="preserve">öfke</t>
  </si>
  <si>
    <t xml:space="preserve">S-12</t>
  </si>
  <si>
    <t xml:space="preserve">yanak</t>
  </si>
  <si>
    <t xml:space="preserve">mal</t>
  </si>
  <si>
    <t xml:space="preserve">S-13</t>
  </si>
  <si>
    <t xml:space="preserve">kahır</t>
  </si>
  <si>
    <t xml:space="preserve">mevki</t>
  </si>
  <si>
    <t xml:space="preserve">S-14</t>
  </si>
  <si>
    <t xml:space="preserve">üst dudak</t>
  </si>
  <si>
    <t xml:space="preserve">rızık</t>
  </si>
  <si>
    <t xml:space="preserve">şenlik</t>
  </si>
  <si>
    <t xml:space="preserve">S-15</t>
  </si>
  <si>
    <t xml:space="preserve">dudak kenarı</t>
  </si>
  <si>
    <t xml:space="preserve">zarar</t>
  </si>
  <si>
    <t xml:space="preserve">esenlik</t>
  </si>
  <si>
    <t xml:space="preserve">S-16</t>
  </si>
  <si>
    <t xml:space="preserve">alt dudak altı</t>
  </si>
  <si>
    <t xml:space="preserve">güzellik</t>
  </si>
  <si>
    <t xml:space="preserve">S-17</t>
  </si>
  <si>
    <t xml:space="preserve">eğlence</t>
  </si>
  <si>
    <t xml:space="preserve">S-18</t>
  </si>
  <si>
    <t xml:space="preserve">hoş haber</t>
  </si>
  <si>
    <t xml:space="preserve">S-19</t>
  </si>
  <si>
    <t xml:space="preserve">boğaz</t>
  </si>
  <si>
    <t xml:space="preserve">gam</t>
  </si>
  <si>
    <t xml:space="preserve">S-20</t>
  </si>
  <si>
    <t xml:space="preserve">S-21</t>
  </si>
  <si>
    <t xml:space="preserve">pazu</t>
  </si>
  <si>
    <t xml:space="preserve">S-22</t>
  </si>
  <si>
    <t xml:space="preserve">iyi haber</t>
  </si>
  <si>
    <t xml:space="preserve">S-23</t>
  </si>
  <si>
    <t xml:space="preserve">önkol</t>
  </si>
  <si>
    <t xml:space="preserve">boş söz/kınanma</t>
  </si>
  <si>
    <t xml:space="preserve">ayıp</t>
  </si>
  <si>
    <t xml:space="preserve">S-24</t>
  </si>
  <si>
    <t xml:space="preserve">el bileği üstü</t>
  </si>
  <si>
    <t xml:space="preserve">zahmet</t>
  </si>
  <si>
    <t xml:space="preserve">S-25</t>
  </si>
  <si>
    <t xml:space="preserve">el sırtı</t>
  </si>
  <si>
    <t xml:space="preserve">şeref</t>
  </si>
  <si>
    <t xml:space="preserve">S-26</t>
  </si>
  <si>
    <t xml:space="preserve">avuç içi</t>
  </si>
  <si>
    <t xml:space="preserve">rızık ve mal</t>
  </si>
  <si>
    <t xml:space="preserve">S-27</t>
  </si>
  <si>
    <t xml:space="preserve">el başparmağı</t>
  </si>
  <si>
    <t xml:space="preserve">yük/sorumluluk</t>
  </si>
  <si>
    <t xml:space="preserve">murada erme</t>
  </si>
  <si>
    <t xml:space="preserve">çeviride sol 'üzüntü'; beyitte kâm=murad</t>
  </si>
  <si>
    <t xml:space="preserve">S-28</t>
  </si>
  <si>
    <t xml:space="preserve">işaret parmağı</t>
  </si>
  <si>
    <t xml:space="preserve">yeni vesileler</t>
  </si>
  <si>
    <t xml:space="preserve">S-29</t>
  </si>
  <si>
    <t xml:space="preserve">orta parmak (el)</t>
  </si>
  <si>
    <t xml:space="preserve">neşe</t>
  </si>
  <si>
    <t xml:space="preserve">S-30</t>
  </si>
  <si>
    <t xml:space="preserve">yüzük parmağı (el)</t>
  </si>
  <si>
    <t xml:space="preserve">makam</t>
  </si>
  <si>
    <t xml:space="preserve">beyit bınsır; çeviri 'serçe' der - klasik sözlük esas alındı</t>
  </si>
  <si>
    <t xml:space="preserve">S-31</t>
  </si>
  <si>
    <t xml:space="preserve">serçe parmak (el)</t>
  </si>
  <si>
    <t xml:space="preserve">S-32</t>
  </si>
  <si>
    <t xml:space="preserve">S-33</t>
  </si>
  <si>
    <t xml:space="preserve">göğüs ucu</t>
  </si>
  <si>
    <t xml:space="preserve">S-34</t>
  </si>
  <si>
    <t xml:space="preserve">kavuşma</t>
  </si>
  <si>
    <t xml:space="preserve">neşe/murad</t>
  </si>
  <si>
    <t xml:space="preserve">S-35</t>
  </si>
  <si>
    <t xml:space="preserve">göbek</t>
  </si>
  <si>
    <t xml:space="preserve">S-36</t>
  </si>
  <si>
    <t xml:space="preserve">yan (böğür üstü)</t>
  </si>
  <si>
    <t xml:space="preserve">S-37</t>
  </si>
  <si>
    <t xml:space="preserve">böğür</t>
  </si>
  <si>
    <t xml:space="preserve">S-38</t>
  </si>
  <si>
    <t xml:space="preserve">güzellik/sevgi</t>
  </si>
  <si>
    <t xml:space="preserve">evlat</t>
  </si>
  <si>
    <t xml:space="preserve">S-39</t>
  </si>
  <si>
    <t xml:space="preserve">kasık</t>
  </si>
  <si>
    <t xml:space="preserve">eşe kavuşma</t>
  </si>
  <si>
    <t xml:space="preserve">yolculuk</t>
  </si>
  <si>
    <t xml:space="preserve">mahrem alan - uygulamada gösterme</t>
  </si>
  <si>
    <t xml:space="preserve">S-40</t>
  </si>
  <si>
    <t xml:space="preserve">(mahrem)</t>
  </si>
  <si>
    <t xml:space="preserve">çocuk müjdesi</t>
  </si>
  <si>
    <t xml:space="preserve">mahrem - gösterme</t>
  </si>
  <si>
    <t xml:space="preserve">S-41</t>
  </si>
  <si>
    <t xml:space="preserve">yol</t>
  </si>
  <si>
    <t xml:space="preserve">S-42</t>
  </si>
  <si>
    <t xml:space="preserve">baldır (üst)</t>
  </si>
  <si>
    <t xml:space="preserve">S-43</t>
  </si>
  <si>
    <t xml:space="preserve">S-44</t>
  </si>
  <si>
    <t xml:space="preserve">diz altı</t>
  </si>
  <si>
    <t xml:space="preserve">S-45</t>
  </si>
  <si>
    <t xml:space="preserve">incik/bacak</t>
  </si>
  <si>
    <t xml:space="preserve">S-46</t>
  </si>
  <si>
    <t xml:space="preserve">incik önü</t>
  </si>
  <si>
    <t xml:space="preserve">erzak</t>
  </si>
  <si>
    <t xml:space="preserve">çeviride 'sırt ortası' - nüsha farkı</t>
  </si>
  <si>
    <t xml:space="preserve">S-47</t>
  </si>
  <si>
    <t xml:space="preserve">baldır içi</t>
  </si>
  <si>
    <t xml:space="preserve">ayrılık</t>
  </si>
  <si>
    <t xml:space="preserve">çeviride 'karın arkası'</t>
  </si>
  <si>
    <t xml:space="preserve">S-48</t>
  </si>
  <si>
    <t xml:space="preserve">S-49</t>
  </si>
  <si>
    <t xml:space="preserve">ayak sırtı</t>
  </si>
  <si>
    <t xml:space="preserve">S-50</t>
  </si>
  <si>
    <t xml:space="preserve">ayak bileği kemiği</t>
  </si>
  <si>
    <t xml:space="preserve">yürüyüş/yolculuk</t>
  </si>
  <si>
    <t xml:space="preserve">çeviride 'el kemiği' - bağlam ayak</t>
  </si>
  <si>
    <t xml:space="preserve">S-51</t>
  </si>
  <si>
    <t xml:space="preserve">ayak tabanı</t>
  </si>
  <si>
    <t xml:space="preserve">S-52</t>
  </si>
  <si>
    <t xml:space="preserve">ayak başparmağı</t>
  </si>
  <si>
    <t xml:space="preserve">murad</t>
  </si>
  <si>
    <t xml:space="preserve">S-53</t>
  </si>
  <si>
    <t xml:space="preserve">ayak 2. parmağı</t>
  </si>
  <si>
    <t xml:space="preserve">S-54</t>
  </si>
  <si>
    <t xml:space="preserve">ayak orta parmağı</t>
  </si>
  <si>
    <t xml:space="preserve">çekişme</t>
  </si>
  <si>
    <t xml:space="preserve">S-55</t>
  </si>
  <si>
    <t xml:space="preserve">ayak yüzük parmağı</t>
  </si>
  <si>
    <t xml:space="preserve">S-56</t>
  </si>
  <si>
    <t xml:space="preserve">ayak serçe parmağı</t>
  </si>
  <si>
    <t xml:space="preserve">Sıra</t>
  </si>
  <si>
    <t xml:space="preserve">Yıl</t>
  </si>
  <si>
    <t xml:space="preserve">Yıl karakteri</t>
  </si>
  <si>
    <t xml:space="preserve">Başında doğan</t>
  </si>
  <si>
    <t xml:space="preserve">Ortasında doğan</t>
  </si>
  <si>
    <t xml:space="preserve">Sonunda doğan</t>
  </si>
  <si>
    <t xml:space="preserve">Sıçan (Fare)</t>
  </si>
  <si>
    <t xml:space="preserve">hoşluk ve bolluk | yıl ortası yağışlı | yıl sonu karışıklık | kış uzun ve soğuk</t>
  </si>
  <si>
    <t xml:space="preserve">zeki, atılgan, güzel huylu</t>
  </si>
  <si>
    <t xml:space="preserve">yalana meyilli, huyu zor (yumuşat)</t>
  </si>
  <si>
    <t xml:space="preserve">kıskanç ve kurnaz (yumuşat)</t>
  </si>
  <si>
    <t xml:space="preserve">295-300</t>
  </si>
  <si>
    <t xml:space="preserve">Sığır</t>
  </si>
  <si>
    <t xml:space="preserve">hastalık ve baş ağrısı çok | yöneticilere fitne | davara kıran | kış sert ve kısa</t>
  </si>
  <si>
    <t xml:space="preserve">başkalarının işini omuzlayan, emektar</t>
  </si>
  <si>
    <t xml:space="preserve">nurlu, zeki, iyi huylu, sevilen</t>
  </si>
  <si>
    <t xml:space="preserve">gönlü yaralı, hassas bünyeli (yumuşat)</t>
  </si>
  <si>
    <t xml:space="preserve">296-300</t>
  </si>
  <si>
    <t xml:space="preserve">Pars (Kaplan)</t>
  </si>
  <si>
    <t xml:space="preserve">öfke ve düşmanlık artar | sözünden dönme çoğalır | deprem ve deniz kazaları | kış kısa ama çok soğuk, sular bol</t>
  </si>
  <si>
    <t xml:space="preserve">yüce gönüllü, yumuşak yüzlü</t>
  </si>
  <si>
    <t xml:space="preserve">olgun, kâmil</t>
  </si>
  <si>
    <t xml:space="preserve">ürkek ve üşengeç (yumuşat)</t>
  </si>
  <si>
    <t xml:space="preserve">Tavşan</t>
  </si>
  <si>
    <t xml:space="preserve">bolluk ve bereket | barış ve sağlık | dört mevsim yerli yerinde</t>
  </si>
  <si>
    <t xml:space="preserve">varlıklı; huyu sert ama vefalı</t>
  </si>
  <si>
    <t xml:space="preserve">güzel, hoş</t>
  </si>
  <si>
    <t xml:space="preserve">kırıcı, sert mizaçlı (yumuşat)</t>
  </si>
  <si>
    <t xml:space="preserve">296-301</t>
  </si>
  <si>
    <t xml:space="preserve">Balık</t>
  </si>
  <si>
    <t xml:space="preserve">savaş ve karışıklık çok | buğday-arpa bol ve ucuz | kar-yağmur bol; kış uzun ve sert</t>
  </si>
  <si>
    <t xml:space="preserve">toy ve savruk (yumuşat)</t>
  </si>
  <si>
    <t xml:space="preserve">halim selim, yumuşak</t>
  </si>
  <si>
    <t xml:space="preserve">aksi ve pervasız (yumuşat)</t>
  </si>
  <si>
    <t xml:space="preserve">297-301</t>
  </si>
  <si>
    <t xml:space="preserve">Yılan</t>
  </si>
  <si>
    <t xml:space="preserve">pahalılık | kıtlık ve üzüntü | kış kısa ve ılık</t>
  </si>
  <si>
    <t xml:space="preserve">sessiz, kendi hâlinde, bilgili, işleri güzel</t>
  </si>
  <si>
    <t xml:space="preserve">huysuz tavırlı (yumuşat)</t>
  </si>
  <si>
    <t xml:space="preserve">aksi mizaçlı (yumuşat)</t>
  </si>
  <si>
    <t xml:space="preserve">At</t>
  </si>
  <si>
    <t xml:space="preserve">savaş ve fitne | yaz güzel, tahıl bol | davara sıkıntı; meyveye zarar; kış ılık-uzun</t>
  </si>
  <si>
    <t xml:space="preserve">zahmet çeker ama sevgi ve hikmet doludur</t>
  </si>
  <si>
    <t xml:space="preserve">iyi işli, hoş huylu</t>
  </si>
  <si>
    <t xml:space="preserve">gamlı ve sivri dilli (yumuşat)</t>
  </si>
  <si>
    <t xml:space="preserve">Koyun</t>
  </si>
  <si>
    <t xml:space="preserve">gam artar; gemilere zarar | savaş çabuk barışa erer | hayır işleyen çoğalır; kış ılık-uzun</t>
  </si>
  <si>
    <t xml:space="preserve">dertli, içli</t>
  </si>
  <si>
    <t xml:space="preserve">sakin, huzurlu (âsûde)</t>
  </si>
  <si>
    <t xml:space="preserve">yorgun ve küskün (yumuşat)</t>
  </si>
  <si>
    <t xml:space="preserve">297-298</t>
  </si>
  <si>
    <t xml:space="preserve">Maymun</t>
  </si>
  <si>
    <t xml:space="preserve">hayırsız yıl; hırsızlık artar | halka sitem çok | deve ve ata hastalık; kış kısa-soğuk; üzüm az</t>
  </si>
  <si>
    <t xml:space="preserve">yüzü sıradan ama güleç, neşeli, iyi huylu</t>
  </si>
  <si>
    <t xml:space="preserve">kıskanç (yumuşat)</t>
  </si>
  <si>
    <t xml:space="preserve">verimini geç bulan (bî-sûd - yumuşatıldı)</t>
  </si>
  <si>
    <t xml:space="preserve">Tavuk</t>
  </si>
  <si>
    <t xml:space="preserve">hastalık az | tahıl ucuz, meyve bol | kış ılık-uzun; (metinde gebelerle ilgili olumsuz kehanet var - KULLANMA)</t>
  </si>
  <si>
    <t xml:space="preserve">güzel ve alımlı ama kısmeti dar (yumuşat: geç açılan kısmet)</t>
  </si>
  <si>
    <t xml:space="preserve">iğneleyici, çevresiyle gergin (yumuşat)</t>
  </si>
  <si>
    <t xml:space="preserve">cömert, misafirsever</t>
  </si>
  <si>
    <t xml:space="preserve">298</t>
  </si>
  <si>
    <t xml:space="preserve">Köpek (İt)</t>
  </si>
  <si>
    <t xml:space="preserve">ekmek-tahıl pahalı | ölüm ve hırsızlık çok | kış hafif, meyve ucuz; kışın emniyet</t>
  </si>
  <si>
    <t xml:space="preserve">sivri dilli, hırslı, iştahlı (yumuşat)</t>
  </si>
  <si>
    <t xml:space="preserve">kavgacı (yumuşat: mücadeleci)</t>
  </si>
  <si>
    <t xml:space="preserve">kanaatkâr ve vefalı</t>
  </si>
  <si>
    <t xml:space="preserve">Domuz</t>
  </si>
  <si>
    <t xml:space="preserve">ileri gelenlere hastalık | yöneticiler arası çekişme ve savaş | buğday çok, darıya afet; halk yer değiştirir; hırsız çok; kış ılık-uzun</t>
  </si>
  <si>
    <t xml:space="preserve">sivri dilli ve kendine güveni tam (hîş-pesend yumuşatıldı)</t>
  </si>
  <si>
    <t xml:space="preserve">yalana meyilli (yumuşat)</t>
  </si>
  <si>
    <t xml:space="preserve">halim ve hayra istekli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</si>
</sst>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6B8A"/>
        <bgColor rgb="FF808080"/>
      </patternFill>
    </fill>
    <fill>
      <patternFill patternType="solid">
        <fgColor rgb="FFFCE5CD"/>
        <bgColor rgb="FFF4CCCC"/>
      </patternFill>
    </fill>
    <fill>
      <patternFill patternType="solid">
        <fgColor rgb="FFF4CCCC"/>
        <bgColor rgb="FFFCE5C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A6B8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n">
        <f aca="false">COUNTA(Kıyafetname!A2:A144)</f>
        <v>143</v>
      </c>
    </row>
    <row r="4" customFormat="false" ht="15" hidden="false" customHeight="false" outlineLevel="0" collapsed="false">
      <c r="A4" s="2" t="s">
        <v>2</v>
      </c>
      <c r="B4" s="3" t="n">
        <f aca="false">COUNTIF(Kıyafetname!H2:H144,"onay_bekliyor")</f>
        <v>100</v>
      </c>
    </row>
    <row r="5" customFormat="false" ht="15" hidden="false" customHeight="false" outlineLevel="0" collapsed="false">
      <c r="A5" s="2" t="s">
        <v>3</v>
      </c>
      <c r="B5" s="3" t="n">
        <f aca="false">COUNTIF(Kıyafetname!H2:H144,"haric_onerisi")</f>
        <v>17</v>
      </c>
    </row>
    <row r="6" customFormat="false" ht="15" hidden="false" customHeight="false" outlineLevel="0" collapsed="false">
      <c r="A6" s="2" t="s">
        <v>4</v>
      </c>
      <c r="B6" s="3" t="n">
        <f aca="false">COUNTIF(Kıyafetname!H2:H144,"haric")</f>
        <v>26</v>
      </c>
    </row>
    <row r="7" customFormat="false" ht="15" hidden="false" customHeight="false" outlineLevel="0" collapsed="false">
      <c r="A7" s="2" t="s">
        <v>5</v>
      </c>
      <c r="B7" s="3" t="n">
        <f aca="false">COUNTIF(Kıyafetname!F2:F144,"kamera_mesh")+COUNTIF(Kıyafetname!F2:F144,"kamera_goruntu")</f>
        <v>53</v>
      </c>
    </row>
    <row r="8" customFormat="false" ht="15" hidden="false" customHeight="false" outlineLevel="0" collapsed="false">
      <c r="A8" s="2" t="s">
        <v>6</v>
      </c>
      <c r="B8" s="3" t="n">
        <f aca="false">COUNTIF(Kıyafetname!F2:F144,"kamera_el")</f>
        <v>6</v>
      </c>
    </row>
    <row r="9" customFormat="false" ht="15" hidden="false" customHeight="false" outlineLevel="0" collapsed="false">
      <c r="A9" s="2" t="s">
        <v>7</v>
      </c>
      <c r="B9" s="3" t="n">
        <f aca="false">COUNTIF(Kıyafetname!F2:F144,"ses_kaydi")</f>
        <v>4</v>
      </c>
    </row>
    <row r="10" customFormat="false" ht="15" hidden="false" customHeight="false" outlineLevel="0" collapsed="false">
      <c r="A10" s="2" t="s">
        <v>8</v>
      </c>
      <c r="B10" s="3" t="n">
        <f aca="false">COUNTIF(Kıyafetname!F2:F144,"oz_bildirim")</f>
        <v>49</v>
      </c>
    </row>
    <row r="11" customFormat="false" ht="15" hidden="false" customHeight="false" outlineLevel="0" collapsed="false">
      <c r="A11" s="2" t="s">
        <v>9</v>
      </c>
      <c r="B11" s="3" t="n">
        <v>28</v>
      </c>
    </row>
    <row r="12" customFormat="false" ht="15" hidden="false" customHeight="false" outlineLevel="0" collapsed="false">
      <c r="A12" s="2" t="s">
        <v>10</v>
      </c>
      <c r="B12" s="3" t="n">
        <v>56</v>
      </c>
    </row>
    <row r="13" customFormat="false" ht="15" hidden="false" customHeight="false" outlineLevel="0" collapsed="false">
      <c r="A13" s="2" t="s">
        <v>11</v>
      </c>
      <c r="B13" s="3" t="n">
        <v>12</v>
      </c>
    </row>
    <row r="15" customFormat="false" ht="15" hidden="false" customHeight="false" outlineLevel="0" collapsed="false">
      <c r="A15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42"/>
    <col collapsed="false" customWidth="true" hidden="false" outlineLevel="0" max="11" min="11" style="0" width="28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</row>
    <row r="2" customFormat="false" ht="26.85" hidden="false" customHeight="false" outlineLevel="0" collapsed="false">
      <c r="A2" s="6" t="s">
        <v>25</v>
      </c>
      <c r="B2" s="6" t="s">
        <v>26</v>
      </c>
      <c r="C2" s="6" t="s">
        <v>27</v>
      </c>
      <c r="D2" s="6" t="s">
        <v>28</v>
      </c>
      <c r="E2" s="6" t="s">
        <v>29</v>
      </c>
      <c r="F2" s="6" t="s">
        <v>30</v>
      </c>
      <c r="G2" s="6" t="n">
        <v>422</v>
      </c>
      <c r="H2" s="6" t="s">
        <v>31</v>
      </c>
      <c r="I2" s="6"/>
      <c r="J2" s="6" t="s">
        <v>32</v>
      </c>
      <c r="K2" s="6"/>
      <c r="L2" s="6"/>
    </row>
    <row r="3" customFormat="false" ht="26.85" hidden="false" customHeight="false" outlineLevel="0" collapsed="false">
      <c r="A3" s="6" t="s">
        <v>33</v>
      </c>
      <c r="B3" s="6" t="s">
        <v>26</v>
      </c>
      <c r="C3" s="6" t="s">
        <v>34</v>
      </c>
      <c r="D3" s="6" t="s">
        <v>35</v>
      </c>
      <c r="E3" s="6" t="s">
        <v>36</v>
      </c>
      <c r="F3" s="6" t="s">
        <v>30</v>
      </c>
      <c r="G3" s="6" t="n">
        <v>422</v>
      </c>
      <c r="H3" s="6" t="s">
        <v>31</v>
      </c>
      <c r="I3" s="6"/>
      <c r="J3" s="6" t="s">
        <v>37</v>
      </c>
      <c r="K3" s="6" t="s">
        <v>38</v>
      </c>
      <c r="L3" s="6"/>
    </row>
    <row r="4" customFormat="false" ht="26.85" hidden="false" customHeight="false" outlineLevel="0" collapsed="false">
      <c r="A4" s="6" t="s">
        <v>39</v>
      </c>
      <c r="B4" s="6" t="s">
        <v>26</v>
      </c>
      <c r="C4" s="6" t="s">
        <v>40</v>
      </c>
      <c r="D4" s="6" t="s">
        <v>41</v>
      </c>
      <c r="E4" s="6" t="s">
        <v>42</v>
      </c>
      <c r="F4" s="6" t="s">
        <v>30</v>
      </c>
      <c r="G4" s="6" t="n">
        <v>422</v>
      </c>
      <c r="H4" s="6" t="s">
        <v>31</v>
      </c>
      <c r="I4" s="6"/>
      <c r="J4" s="6" t="s">
        <v>43</v>
      </c>
      <c r="K4" s="6"/>
      <c r="L4" s="6"/>
    </row>
    <row r="5" customFormat="false" ht="26.85" hidden="false" customHeight="false" outlineLevel="0" collapsed="false">
      <c r="A5" s="6" t="s">
        <v>44</v>
      </c>
      <c r="B5" s="6" t="s">
        <v>45</v>
      </c>
      <c r="C5" s="6" t="s">
        <v>46</v>
      </c>
      <c r="D5" s="6" t="s">
        <v>47</v>
      </c>
      <c r="E5" s="6" t="s">
        <v>42</v>
      </c>
      <c r="F5" s="6" t="s">
        <v>30</v>
      </c>
      <c r="G5" s="6" t="n">
        <v>422</v>
      </c>
      <c r="H5" s="6" t="s">
        <v>31</v>
      </c>
      <c r="I5" s="6"/>
      <c r="J5" s="6" t="s">
        <v>48</v>
      </c>
      <c r="K5" s="6"/>
      <c r="L5" s="6"/>
    </row>
    <row r="6" customFormat="false" ht="26.85" hidden="false" customHeight="false" outlineLevel="0" collapsed="false">
      <c r="A6" s="6" t="s">
        <v>49</v>
      </c>
      <c r="B6" s="6" t="s">
        <v>45</v>
      </c>
      <c r="C6" s="6" t="s">
        <v>50</v>
      </c>
      <c r="D6" s="6" t="s">
        <v>51</v>
      </c>
      <c r="E6" s="6" t="s">
        <v>36</v>
      </c>
      <c r="F6" s="6" t="s">
        <v>30</v>
      </c>
      <c r="G6" s="6" t="n">
        <v>422</v>
      </c>
      <c r="H6" s="6" t="s">
        <v>31</v>
      </c>
      <c r="I6" s="6"/>
      <c r="J6" s="6" t="s">
        <v>52</v>
      </c>
      <c r="K6" s="6"/>
      <c r="L6" s="6"/>
    </row>
    <row r="7" customFormat="false" ht="39.55" hidden="false" customHeight="false" outlineLevel="0" collapsed="false">
      <c r="A7" s="7" t="s">
        <v>53</v>
      </c>
      <c r="B7" s="7" t="s">
        <v>54</v>
      </c>
      <c r="C7" s="7" t="s">
        <v>55</v>
      </c>
      <c r="D7" s="7" t="s">
        <v>56</v>
      </c>
      <c r="E7" s="7" t="s">
        <v>36</v>
      </c>
      <c r="F7" s="7" t="s">
        <v>57</v>
      </c>
      <c r="G7" s="7" t="n">
        <v>422</v>
      </c>
      <c r="H7" s="7" t="s">
        <v>58</v>
      </c>
      <c r="I7" s="7" t="s">
        <v>59</v>
      </c>
      <c r="J7" s="7"/>
      <c r="K7" s="7"/>
      <c r="L7" s="7"/>
    </row>
    <row r="8" customFormat="false" ht="26.85" hidden="false" customHeight="false" outlineLevel="0" collapsed="false">
      <c r="A8" s="7" t="s">
        <v>60</v>
      </c>
      <c r="B8" s="7" t="s">
        <v>54</v>
      </c>
      <c r="C8" s="7" t="s">
        <v>61</v>
      </c>
      <c r="D8" s="7" t="s">
        <v>62</v>
      </c>
      <c r="E8" s="7" t="s">
        <v>42</v>
      </c>
      <c r="F8" s="7" t="s">
        <v>57</v>
      </c>
      <c r="G8" s="7" t="n">
        <v>422</v>
      </c>
      <c r="H8" s="7" t="s">
        <v>58</v>
      </c>
      <c r="I8" s="7" t="s">
        <v>63</v>
      </c>
      <c r="J8" s="7"/>
      <c r="K8" s="7"/>
      <c r="L8" s="7"/>
    </row>
    <row r="9" customFormat="false" ht="26.85" hidden="false" customHeight="false" outlineLevel="0" collapsed="false">
      <c r="A9" s="7" t="s">
        <v>64</v>
      </c>
      <c r="B9" s="7" t="s">
        <v>54</v>
      </c>
      <c r="C9" s="7" t="s">
        <v>65</v>
      </c>
      <c r="D9" s="7" t="s">
        <v>66</v>
      </c>
      <c r="E9" s="7" t="s">
        <v>42</v>
      </c>
      <c r="F9" s="7" t="s">
        <v>57</v>
      </c>
      <c r="G9" s="7" t="n">
        <v>422</v>
      </c>
      <c r="H9" s="7" t="s">
        <v>58</v>
      </c>
      <c r="I9" s="7" t="s">
        <v>63</v>
      </c>
      <c r="J9" s="7"/>
      <c r="K9" s="7"/>
      <c r="L9" s="7"/>
    </row>
    <row r="10" customFormat="false" ht="26.85" hidden="false" customHeight="false" outlineLevel="0" collapsed="false">
      <c r="A10" s="6" t="s">
        <v>67</v>
      </c>
      <c r="B10" s="6" t="s">
        <v>68</v>
      </c>
      <c r="C10" s="6" t="s">
        <v>69</v>
      </c>
      <c r="D10" s="6" t="s">
        <v>70</v>
      </c>
      <c r="E10" s="6" t="s">
        <v>42</v>
      </c>
      <c r="F10" s="6" t="s">
        <v>57</v>
      </c>
      <c r="G10" s="6" t="n">
        <v>422</v>
      </c>
      <c r="H10" s="6" t="s">
        <v>31</v>
      </c>
      <c r="I10" s="6"/>
      <c r="J10" s="6" t="s">
        <v>71</v>
      </c>
      <c r="K10" s="6"/>
      <c r="L10" s="6"/>
    </row>
    <row r="11" customFormat="false" ht="26.85" hidden="false" customHeight="false" outlineLevel="0" collapsed="false">
      <c r="A11" s="8" t="s">
        <v>72</v>
      </c>
      <c r="B11" s="8" t="s">
        <v>68</v>
      </c>
      <c r="C11" s="8" t="s">
        <v>73</v>
      </c>
      <c r="D11" s="8" t="s">
        <v>74</v>
      </c>
      <c r="E11" s="8" t="s">
        <v>36</v>
      </c>
      <c r="F11" s="8" t="s">
        <v>75</v>
      </c>
      <c r="G11" s="8" t="n">
        <v>422</v>
      </c>
      <c r="H11" s="8" t="s">
        <v>76</v>
      </c>
      <c r="I11" s="8" t="s">
        <v>77</v>
      </c>
      <c r="J11" s="8"/>
      <c r="K11" s="8"/>
      <c r="L11" s="8"/>
    </row>
    <row r="12" customFormat="false" ht="26.85" hidden="false" customHeight="false" outlineLevel="0" collapsed="false">
      <c r="A12" s="6" t="s">
        <v>78</v>
      </c>
      <c r="B12" s="6" t="s">
        <v>79</v>
      </c>
      <c r="C12" s="6" t="s">
        <v>80</v>
      </c>
      <c r="D12" s="6" t="s">
        <v>81</v>
      </c>
      <c r="E12" s="6" t="s">
        <v>36</v>
      </c>
      <c r="F12" s="6" t="s">
        <v>30</v>
      </c>
      <c r="G12" s="6" t="n">
        <v>422</v>
      </c>
      <c r="H12" s="6" t="s">
        <v>31</v>
      </c>
      <c r="I12" s="6"/>
      <c r="J12" s="6" t="s">
        <v>82</v>
      </c>
      <c r="K12" s="6" t="s">
        <v>83</v>
      </c>
      <c r="L12" s="6"/>
    </row>
    <row r="13" customFormat="false" ht="26.85" hidden="false" customHeight="false" outlineLevel="0" collapsed="false">
      <c r="A13" s="6" t="s">
        <v>84</v>
      </c>
      <c r="B13" s="6" t="s">
        <v>79</v>
      </c>
      <c r="C13" s="6" t="s">
        <v>85</v>
      </c>
      <c r="D13" s="6" t="s">
        <v>86</v>
      </c>
      <c r="E13" s="6" t="s">
        <v>42</v>
      </c>
      <c r="F13" s="6" t="s">
        <v>30</v>
      </c>
      <c r="G13" s="6" t="n">
        <v>422</v>
      </c>
      <c r="H13" s="6" t="s">
        <v>31</v>
      </c>
      <c r="I13" s="6"/>
      <c r="J13" s="6" t="s">
        <v>87</v>
      </c>
      <c r="K13" s="6" t="s">
        <v>88</v>
      </c>
      <c r="L13" s="6"/>
    </row>
    <row r="14" customFormat="false" ht="26.85" hidden="false" customHeight="false" outlineLevel="0" collapsed="false">
      <c r="A14" s="6" t="s">
        <v>89</v>
      </c>
      <c r="B14" s="6" t="s">
        <v>79</v>
      </c>
      <c r="C14" s="6" t="s">
        <v>90</v>
      </c>
      <c r="D14" s="6" t="s">
        <v>91</v>
      </c>
      <c r="E14" s="6" t="s">
        <v>42</v>
      </c>
      <c r="F14" s="6" t="s">
        <v>30</v>
      </c>
      <c r="G14" s="6" t="n">
        <v>422</v>
      </c>
      <c r="H14" s="6" t="s">
        <v>31</v>
      </c>
      <c r="I14" s="6"/>
      <c r="J14" s="6" t="s">
        <v>92</v>
      </c>
      <c r="K14" s="6"/>
      <c r="L14" s="6"/>
    </row>
    <row r="15" customFormat="false" ht="15" hidden="false" customHeight="false" outlineLevel="0" collapsed="false">
      <c r="A15" s="6" t="s">
        <v>93</v>
      </c>
      <c r="B15" s="6" t="s">
        <v>94</v>
      </c>
      <c r="C15" s="6" t="s">
        <v>95</v>
      </c>
      <c r="D15" s="6" t="s">
        <v>96</v>
      </c>
      <c r="E15" s="6" t="s">
        <v>42</v>
      </c>
      <c r="F15" s="6" t="s">
        <v>30</v>
      </c>
      <c r="G15" s="6" t="n">
        <v>422</v>
      </c>
      <c r="H15" s="6" t="s">
        <v>31</v>
      </c>
      <c r="I15" s="6"/>
      <c r="J15" s="6" t="s">
        <v>97</v>
      </c>
      <c r="K15" s="6"/>
      <c r="L15" s="6"/>
    </row>
    <row r="16" customFormat="false" ht="26.85" hidden="false" customHeight="false" outlineLevel="0" collapsed="false">
      <c r="A16" s="8" t="s">
        <v>98</v>
      </c>
      <c r="B16" s="8" t="s">
        <v>99</v>
      </c>
      <c r="C16" s="8" t="s">
        <v>100</v>
      </c>
      <c r="D16" s="8" t="s">
        <v>101</v>
      </c>
      <c r="E16" s="8" t="s">
        <v>36</v>
      </c>
      <c r="F16" s="8" t="s">
        <v>75</v>
      </c>
      <c r="G16" s="8" t="n">
        <v>422</v>
      </c>
      <c r="H16" s="8" t="s">
        <v>76</v>
      </c>
      <c r="I16" s="8" t="s">
        <v>102</v>
      </c>
      <c r="J16" s="8"/>
      <c r="K16" s="8"/>
      <c r="L16" s="8"/>
    </row>
    <row r="17" customFormat="false" ht="26.85" hidden="false" customHeight="false" outlineLevel="0" collapsed="false">
      <c r="A17" s="6" t="s">
        <v>103</v>
      </c>
      <c r="B17" s="6" t="s">
        <v>104</v>
      </c>
      <c r="C17" s="6" t="s">
        <v>105</v>
      </c>
      <c r="D17" s="6" t="s">
        <v>106</v>
      </c>
      <c r="E17" s="6" t="s">
        <v>36</v>
      </c>
      <c r="F17" s="6" t="s">
        <v>107</v>
      </c>
      <c r="G17" s="6" t="n">
        <v>423</v>
      </c>
      <c r="H17" s="6" t="s">
        <v>31</v>
      </c>
      <c r="I17" s="6"/>
      <c r="J17" s="6" t="s">
        <v>108</v>
      </c>
      <c r="K17" s="6"/>
      <c r="L17" s="6"/>
    </row>
    <row r="18" customFormat="false" ht="26.85" hidden="false" customHeight="false" outlineLevel="0" collapsed="false">
      <c r="A18" s="6" t="s">
        <v>109</v>
      </c>
      <c r="B18" s="6" t="s">
        <v>104</v>
      </c>
      <c r="C18" s="6" t="s">
        <v>110</v>
      </c>
      <c r="D18" s="6" t="s">
        <v>111</v>
      </c>
      <c r="E18" s="6" t="s">
        <v>36</v>
      </c>
      <c r="F18" s="6" t="s">
        <v>57</v>
      </c>
      <c r="G18" s="6" t="n">
        <v>423</v>
      </c>
      <c r="H18" s="6" t="s">
        <v>31</v>
      </c>
      <c r="I18" s="6"/>
      <c r="J18" s="6" t="s">
        <v>112</v>
      </c>
      <c r="K18" s="6" t="s">
        <v>113</v>
      </c>
      <c r="L18" s="6"/>
    </row>
    <row r="19" customFormat="false" ht="39.55" hidden="false" customHeight="false" outlineLevel="0" collapsed="false">
      <c r="A19" s="6" t="s">
        <v>114</v>
      </c>
      <c r="B19" s="6" t="s">
        <v>104</v>
      </c>
      <c r="C19" s="6" t="s">
        <v>115</v>
      </c>
      <c r="D19" s="6" t="s">
        <v>116</v>
      </c>
      <c r="E19" s="6" t="s">
        <v>36</v>
      </c>
      <c r="F19" s="6" t="s">
        <v>107</v>
      </c>
      <c r="G19" s="6" t="n">
        <v>423</v>
      </c>
      <c r="H19" s="6" t="s">
        <v>31</v>
      </c>
      <c r="I19" s="6"/>
      <c r="J19" s="6" t="s">
        <v>117</v>
      </c>
      <c r="K19" s="6" t="s">
        <v>118</v>
      </c>
      <c r="L19" s="6"/>
    </row>
    <row r="20" customFormat="false" ht="15" hidden="false" customHeight="false" outlineLevel="0" collapsed="false">
      <c r="A20" s="6" t="s">
        <v>119</v>
      </c>
      <c r="B20" s="6" t="s">
        <v>104</v>
      </c>
      <c r="C20" s="6" t="s">
        <v>120</v>
      </c>
      <c r="D20" s="6" t="s">
        <v>121</v>
      </c>
      <c r="E20" s="6" t="s">
        <v>42</v>
      </c>
      <c r="F20" s="6" t="s">
        <v>107</v>
      </c>
      <c r="G20" s="6" t="n">
        <v>423</v>
      </c>
      <c r="H20" s="6" t="s">
        <v>31</v>
      </c>
      <c r="I20" s="6"/>
      <c r="J20" s="6" t="s">
        <v>122</v>
      </c>
      <c r="K20" s="6"/>
      <c r="L20" s="6"/>
    </row>
    <row r="21" customFormat="false" ht="39.55" hidden="false" customHeight="false" outlineLevel="0" collapsed="false">
      <c r="A21" s="6" t="s">
        <v>123</v>
      </c>
      <c r="B21" s="6" t="s">
        <v>104</v>
      </c>
      <c r="C21" s="6" t="s">
        <v>124</v>
      </c>
      <c r="D21" s="6" t="s">
        <v>125</v>
      </c>
      <c r="E21" s="6" t="s">
        <v>36</v>
      </c>
      <c r="F21" s="6" t="s">
        <v>57</v>
      </c>
      <c r="G21" s="6" t="n">
        <v>423</v>
      </c>
      <c r="H21" s="6" t="s">
        <v>31</v>
      </c>
      <c r="I21" s="6"/>
      <c r="J21" s="6" t="s">
        <v>126</v>
      </c>
      <c r="K21" s="6" t="s">
        <v>127</v>
      </c>
      <c r="L21" s="6"/>
    </row>
    <row r="22" customFormat="false" ht="26.85" hidden="false" customHeight="false" outlineLevel="0" collapsed="false">
      <c r="A22" s="6" t="s">
        <v>128</v>
      </c>
      <c r="B22" s="6" t="s">
        <v>104</v>
      </c>
      <c r="C22" s="6" t="s">
        <v>129</v>
      </c>
      <c r="D22" s="6" t="s">
        <v>130</v>
      </c>
      <c r="E22" s="6" t="s">
        <v>131</v>
      </c>
      <c r="F22" s="6" t="s">
        <v>57</v>
      </c>
      <c r="G22" s="6" t="n">
        <v>423</v>
      </c>
      <c r="H22" s="6" t="s">
        <v>31</v>
      </c>
      <c r="I22" s="6"/>
      <c r="J22" s="6" t="s">
        <v>132</v>
      </c>
      <c r="K22" s="6" t="s">
        <v>133</v>
      </c>
      <c r="L22" s="6"/>
    </row>
    <row r="23" customFormat="false" ht="26.85" hidden="false" customHeight="false" outlineLevel="0" collapsed="false">
      <c r="A23" s="6" t="s">
        <v>134</v>
      </c>
      <c r="B23" s="6" t="s">
        <v>135</v>
      </c>
      <c r="C23" s="6" t="s">
        <v>136</v>
      </c>
      <c r="D23" s="6" t="s">
        <v>137</v>
      </c>
      <c r="E23" s="6" t="s">
        <v>36</v>
      </c>
      <c r="F23" s="6" t="s">
        <v>57</v>
      </c>
      <c r="G23" s="6" t="n">
        <v>423</v>
      </c>
      <c r="H23" s="6" t="s">
        <v>31</v>
      </c>
      <c r="I23" s="6"/>
      <c r="J23" s="6" t="s">
        <v>138</v>
      </c>
      <c r="K23" s="6"/>
      <c r="L23" s="6"/>
    </row>
    <row r="24" customFormat="false" ht="26.85" hidden="false" customHeight="false" outlineLevel="0" collapsed="false">
      <c r="A24" s="6" t="s">
        <v>139</v>
      </c>
      <c r="B24" s="6" t="s">
        <v>140</v>
      </c>
      <c r="C24" s="6" t="s">
        <v>141</v>
      </c>
      <c r="D24" s="6" t="s">
        <v>142</v>
      </c>
      <c r="E24" s="6" t="s">
        <v>36</v>
      </c>
      <c r="F24" s="6" t="s">
        <v>57</v>
      </c>
      <c r="G24" s="6" t="n">
        <v>423</v>
      </c>
      <c r="H24" s="6" t="s">
        <v>31</v>
      </c>
      <c r="I24" s="6"/>
      <c r="J24" s="6" t="s">
        <v>143</v>
      </c>
      <c r="K24" s="6" t="s">
        <v>144</v>
      </c>
      <c r="L24" s="6"/>
    </row>
    <row r="25" customFormat="false" ht="39.55" hidden="false" customHeight="false" outlineLevel="0" collapsed="false">
      <c r="A25" s="6" t="s">
        <v>145</v>
      </c>
      <c r="B25" s="6" t="s">
        <v>140</v>
      </c>
      <c r="C25" s="6" t="s">
        <v>146</v>
      </c>
      <c r="D25" s="6" t="s">
        <v>147</v>
      </c>
      <c r="E25" s="6" t="s">
        <v>131</v>
      </c>
      <c r="F25" s="6" t="s">
        <v>57</v>
      </c>
      <c r="G25" s="6" t="n">
        <v>423</v>
      </c>
      <c r="H25" s="6" t="s">
        <v>31</v>
      </c>
      <c r="I25" s="6"/>
      <c r="J25" s="6" t="s">
        <v>148</v>
      </c>
      <c r="K25" s="6" t="s">
        <v>149</v>
      </c>
      <c r="L25" s="6"/>
    </row>
    <row r="26" customFormat="false" ht="26.85" hidden="false" customHeight="false" outlineLevel="0" collapsed="false">
      <c r="A26" s="6" t="s">
        <v>150</v>
      </c>
      <c r="B26" s="6" t="s">
        <v>151</v>
      </c>
      <c r="C26" s="6" t="s">
        <v>152</v>
      </c>
      <c r="D26" s="6" t="s">
        <v>153</v>
      </c>
      <c r="E26" s="6" t="s">
        <v>36</v>
      </c>
      <c r="F26" s="6" t="s">
        <v>107</v>
      </c>
      <c r="G26" s="6" t="n">
        <v>423</v>
      </c>
      <c r="H26" s="6" t="s">
        <v>31</v>
      </c>
      <c r="I26" s="6"/>
      <c r="J26" s="6" t="s">
        <v>154</v>
      </c>
      <c r="K26" s="6" t="s">
        <v>113</v>
      </c>
      <c r="L26" s="6"/>
    </row>
    <row r="27" customFormat="false" ht="26.85" hidden="false" customHeight="false" outlineLevel="0" collapsed="false">
      <c r="A27" s="6" t="s">
        <v>155</v>
      </c>
      <c r="B27" s="6" t="s">
        <v>151</v>
      </c>
      <c r="C27" s="6" t="s">
        <v>156</v>
      </c>
      <c r="D27" s="6" t="s">
        <v>157</v>
      </c>
      <c r="E27" s="6" t="s">
        <v>36</v>
      </c>
      <c r="F27" s="6" t="s">
        <v>57</v>
      </c>
      <c r="G27" s="6" t="n">
        <v>423</v>
      </c>
      <c r="H27" s="6" t="s">
        <v>31</v>
      </c>
      <c r="I27" s="6"/>
      <c r="J27" s="6" t="s">
        <v>158</v>
      </c>
      <c r="K27" s="6"/>
      <c r="L27" s="6"/>
    </row>
    <row r="28" customFormat="false" ht="39.55" hidden="false" customHeight="false" outlineLevel="0" collapsed="false">
      <c r="A28" s="6" t="s">
        <v>159</v>
      </c>
      <c r="B28" s="6" t="s">
        <v>151</v>
      </c>
      <c r="C28" s="6" t="s">
        <v>160</v>
      </c>
      <c r="D28" s="6" t="s">
        <v>161</v>
      </c>
      <c r="E28" s="6" t="s">
        <v>131</v>
      </c>
      <c r="F28" s="6" t="s">
        <v>107</v>
      </c>
      <c r="G28" s="6" t="n">
        <v>423</v>
      </c>
      <c r="H28" s="6" t="s">
        <v>31</v>
      </c>
      <c r="I28" s="6"/>
      <c r="J28" s="6" t="s">
        <v>162</v>
      </c>
      <c r="K28" s="6" t="s">
        <v>163</v>
      </c>
      <c r="L28" s="6"/>
    </row>
    <row r="29" customFormat="false" ht="26.85" hidden="false" customHeight="false" outlineLevel="0" collapsed="false">
      <c r="A29" s="6" t="s">
        <v>164</v>
      </c>
      <c r="B29" s="6" t="s">
        <v>151</v>
      </c>
      <c r="C29" s="6" t="s">
        <v>165</v>
      </c>
      <c r="D29" s="6" t="s">
        <v>166</v>
      </c>
      <c r="E29" s="6" t="s">
        <v>131</v>
      </c>
      <c r="F29" s="6" t="s">
        <v>107</v>
      </c>
      <c r="G29" s="6" t="n">
        <v>423</v>
      </c>
      <c r="H29" s="6" t="s">
        <v>31</v>
      </c>
      <c r="I29" s="6"/>
      <c r="J29" s="6" t="s">
        <v>167</v>
      </c>
      <c r="K29" s="6"/>
      <c r="L29" s="6"/>
    </row>
    <row r="30" customFormat="false" ht="26.85" hidden="false" customHeight="false" outlineLevel="0" collapsed="false">
      <c r="A30" s="6" t="s">
        <v>168</v>
      </c>
      <c r="B30" s="6" t="s">
        <v>151</v>
      </c>
      <c r="C30" s="6" t="s">
        <v>169</v>
      </c>
      <c r="D30" s="6" t="s">
        <v>170</v>
      </c>
      <c r="E30" s="6" t="s">
        <v>42</v>
      </c>
      <c r="F30" s="6" t="s">
        <v>107</v>
      </c>
      <c r="G30" s="6" t="n">
        <v>423</v>
      </c>
      <c r="H30" s="6" t="s">
        <v>31</v>
      </c>
      <c r="I30" s="6"/>
      <c r="J30" s="6" t="s">
        <v>171</v>
      </c>
      <c r="K30" s="6"/>
      <c r="L30" s="6"/>
    </row>
    <row r="31" customFormat="false" ht="26.85" hidden="false" customHeight="false" outlineLevel="0" collapsed="false">
      <c r="A31" s="6" t="s">
        <v>172</v>
      </c>
      <c r="B31" s="6" t="s">
        <v>173</v>
      </c>
      <c r="C31" s="6" t="s">
        <v>174</v>
      </c>
      <c r="D31" s="6" t="s">
        <v>175</v>
      </c>
      <c r="E31" s="6" t="s">
        <v>36</v>
      </c>
      <c r="F31" s="6" t="s">
        <v>107</v>
      </c>
      <c r="G31" s="6" t="n">
        <v>423</v>
      </c>
      <c r="H31" s="6" t="s">
        <v>31</v>
      </c>
      <c r="I31" s="6"/>
      <c r="J31" s="6" t="s">
        <v>176</v>
      </c>
      <c r="K31" s="6"/>
      <c r="L31" s="6"/>
    </row>
    <row r="32" customFormat="false" ht="39.55" hidden="false" customHeight="false" outlineLevel="0" collapsed="false">
      <c r="A32" s="7" t="s">
        <v>177</v>
      </c>
      <c r="B32" s="7" t="s">
        <v>178</v>
      </c>
      <c r="C32" s="7" t="s">
        <v>179</v>
      </c>
      <c r="D32" s="7" t="s">
        <v>180</v>
      </c>
      <c r="E32" s="7" t="s">
        <v>131</v>
      </c>
      <c r="F32" s="7" t="s">
        <v>57</v>
      </c>
      <c r="G32" s="7" t="n">
        <v>423</v>
      </c>
      <c r="H32" s="7" t="s">
        <v>58</v>
      </c>
      <c r="I32" s="7" t="s">
        <v>181</v>
      </c>
      <c r="J32" s="7"/>
      <c r="K32" s="7"/>
      <c r="L32" s="7"/>
    </row>
    <row r="33" customFormat="false" ht="26.85" hidden="false" customHeight="false" outlineLevel="0" collapsed="false">
      <c r="A33" s="7" t="s">
        <v>182</v>
      </c>
      <c r="B33" s="7" t="s">
        <v>178</v>
      </c>
      <c r="C33" s="7" t="s">
        <v>183</v>
      </c>
      <c r="D33" s="7" t="s">
        <v>184</v>
      </c>
      <c r="E33" s="7" t="s">
        <v>42</v>
      </c>
      <c r="F33" s="7" t="s">
        <v>57</v>
      </c>
      <c r="G33" s="7" t="n">
        <v>423</v>
      </c>
      <c r="H33" s="7" t="s">
        <v>58</v>
      </c>
      <c r="I33" s="7" t="s">
        <v>185</v>
      </c>
      <c r="J33" s="7"/>
      <c r="K33" s="7"/>
      <c r="L33" s="7"/>
    </row>
    <row r="34" customFormat="false" ht="26.85" hidden="false" customHeight="false" outlineLevel="0" collapsed="false">
      <c r="A34" s="6" t="s">
        <v>186</v>
      </c>
      <c r="B34" s="6" t="s">
        <v>173</v>
      </c>
      <c r="C34" s="6" t="s">
        <v>187</v>
      </c>
      <c r="D34" s="6" t="s">
        <v>188</v>
      </c>
      <c r="E34" s="6" t="s">
        <v>131</v>
      </c>
      <c r="F34" s="6" t="s">
        <v>107</v>
      </c>
      <c r="G34" s="6" t="n">
        <v>423</v>
      </c>
      <c r="H34" s="6" t="s">
        <v>31</v>
      </c>
      <c r="I34" s="6"/>
      <c r="J34" s="6" t="s">
        <v>189</v>
      </c>
      <c r="K34" s="6"/>
      <c r="L34" s="6"/>
    </row>
    <row r="35" customFormat="false" ht="26.85" hidden="false" customHeight="false" outlineLevel="0" collapsed="false">
      <c r="A35" s="6" t="s">
        <v>190</v>
      </c>
      <c r="B35" s="6" t="s">
        <v>173</v>
      </c>
      <c r="C35" s="6" t="s">
        <v>191</v>
      </c>
      <c r="D35" s="6" t="s">
        <v>192</v>
      </c>
      <c r="E35" s="6" t="s">
        <v>131</v>
      </c>
      <c r="F35" s="6" t="s">
        <v>107</v>
      </c>
      <c r="G35" s="6" t="n">
        <v>423</v>
      </c>
      <c r="H35" s="6" t="s">
        <v>31</v>
      </c>
      <c r="I35" s="6"/>
      <c r="J35" s="6" t="s">
        <v>193</v>
      </c>
      <c r="K35" s="6" t="s">
        <v>194</v>
      </c>
      <c r="L35" s="6"/>
    </row>
    <row r="36" customFormat="false" ht="26.85" hidden="false" customHeight="false" outlineLevel="0" collapsed="false">
      <c r="A36" s="6" t="s">
        <v>195</v>
      </c>
      <c r="B36" s="6" t="s">
        <v>173</v>
      </c>
      <c r="C36" s="6" t="s">
        <v>196</v>
      </c>
      <c r="D36" s="6" t="s">
        <v>197</v>
      </c>
      <c r="E36" s="6" t="s">
        <v>131</v>
      </c>
      <c r="F36" s="6" t="s">
        <v>107</v>
      </c>
      <c r="G36" s="6" t="n">
        <v>423</v>
      </c>
      <c r="H36" s="6" t="s">
        <v>31</v>
      </c>
      <c r="I36" s="6"/>
      <c r="J36" s="6" t="s">
        <v>198</v>
      </c>
      <c r="K36" s="6"/>
      <c r="L36" s="6"/>
    </row>
    <row r="37" customFormat="false" ht="26.85" hidden="false" customHeight="false" outlineLevel="0" collapsed="false">
      <c r="A37" s="6" t="s">
        <v>199</v>
      </c>
      <c r="B37" s="6" t="s">
        <v>173</v>
      </c>
      <c r="C37" s="6" t="s">
        <v>200</v>
      </c>
      <c r="D37" s="6" t="s">
        <v>201</v>
      </c>
      <c r="E37" s="6" t="s">
        <v>29</v>
      </c>
      <c r="F37" s="6" t="s">
        <v>57</v>
      </c>
      <c r="G37" s="6" t="n">
        <v>423</v>
      </c>
      <c r="H37" s="6" t="s">
        <v>31</v>
      </c>
      <c r="I37" s="6"/>
      <c r="J37" s="6" t="s">
        <v>202</v>
      </c>
      <c r="K37" s="6" t="s">
        <v>203</v>
      </c>
      <c r="L37" s="6"/>
    </row>
    <row r="38" customFormat="false" ht="15" hidden="false" customHeight="false" outlineLevel="0" collapsed="false">
      <c r="A38" s="8" t="s">
        <v>204</v>
      </c>
      <c r="B38" s="8" t="s">
        <v>173</v>
      </c>
      <c r="C38" s="8" t="s">
        <v>205</v>
      </c>
      <c r="D38" s="8" t="s">
        <v>206</v>
      </c>
      <c r="E38" s="8" t="s">
        <v>36</v>
      </c>
      <c r="F38" s="8" t="s">
        <v>75</v>
      </c>
      <c r="G38" s="8" t="n">
        <v>423</v>
      </c>
      <c r="H38" s="8" t="s">
        <v>76</v>
      </c>
      <c r="I38" s="8" t="s">
        <v>207</v>
      </c>
      <c r="J38" s="8"/>
      <c r="K38" s="8"/>
      <c r="L38" s="8"/>
    </row>
    <row r="39" customFormat="false" ht="26.85" hidden="false" customHeight="false" outlineLevel="0" collapsed="false">
      <c r="A39" s="6" t="s">
        <v>208</v>
      </c>
      <c r="B39" s="6" t="s">
        <v>209</v>
      </c>
      <c r="C39" s="6" t="s">
        <v>210</v>
      </c>
      <c r="D39" s="6" t="s">
        <v>211</v>
      </c>
      <c r="E39" s="6" t="s">
        <v>36</v>
      </c>
      <c r="F39" s="6" t="s">
        <v>30</v>
      </c>
      <c r="G39" s="6" t="n">
        <v>423</v>
      </c>
      <c r="H39" s="6" t="s">
        <v>31</v>
      </c>
      <c r="I39" s="6"/>
      <c r="J39" s="6" t="s">
        <v>212</v>
      </c>
      <c r="K39" s="6" t="s">
        <v>213</v>
      </c>
      <c r="L39" s="6"/>
    </row>
    <row r="40" customFormat="false" ht="26.85" hidden="false" customHeight="false" outlineLevel="0" collapsed="false">
      <c r="A40" s="8" t="s">
        <v>214</v>
      </c>
      <c r="B40" s="8" t="s">
        <v>173</v>
      </c>
      <c r="C40" s="8" t="s">
        <v>215</v>
      </c>
      <c r="D40" s="8" t="s">
        <v>216</v>
      </c>
      <c r="E40" s="8" t="s">
        <v>36</v>
      </c>
      <c r="F40" s="8" t="s">
        <v>75</v>
      </c>
      <c r="G40" s="8" t="n">
        <v>423</v>
      </c>
      <c r="H40" s="8" t="s">
        <v>76</v>
      </c>
      <c r="I40" s="8" t="s">
        <v>217</v>
      </c>
      <c r="J40" s="8"/>
      <c r="K40" s="8"/>
      <c r="L40" s="8"/>
    </row>
    <row r="41" customFormat="false" ht="26.85" hidden="false" customHeight="false" outlineLevel="0" collapsed="false">
      <c r="A41" s="6" t="s">
        <v>218</v>
      </c>
      <c r="B41" s="6" t="s">
        <v>173</v>
      </c>
      <c r="C41" s="6" t="s">
        <v>219</v>
      </c>
      <c r="D41" s="6" t="s">
        <v>220</v>
      </c>
      <c r="E41" s="6" t="s">
        <v>42</v>
      </c>
      <c r="F41" s="6" t="s">
        <v>57</v>
      </c>
      <c r="G41" s="6" t="n">
        <v>423</v>
      </c>
      <c r="H41" s="6" t="s">
        <v>31</v>
      </c>
      <c r="I41" s="6"/>
      <c r="J41" s="6" t="s">
        <v>221</v>
      </c>
      <c r="K41" s="6"/>
      <c r="L41" s="6"/>
    </row>
    <row r="42" customFormat="false" ht="15" hidden="false" customHeight="false" outlineLevel="0" collapsed="false">
      <c r="A42" s="8" t="s">
        <v>222</v>
      </c>
      <c r="B42" s="8" t="s">
        <v>223</v>
      </c>
      <c r="C42" s="8" t="s">
        <v>85</v>
      </c>
      <c r="D42" s="8" t="s">
        <v>224</v>
      </c>
      <c r="E42" s="8" t="s">
        <v>36</v>
      </c>
      <c r="F42" s="8" t="s">
        <v>75</v>
      </c>
      <c r="G42" s="8" t="n">
        <v>423</v>
      </c>
      <c r="H42" s="8" t="s">
        <v>76</v>
      </c>
      <c r="I42" s="8" t="s">
        <v>225</v>
      </c>
      <c r="J42" s="8"/>
      <c r="K42" s="8"/>
      <c r="L42" s="8"/>
    </row>
    <row r="43" customFormat="false" ht="15" hidden="false" customHeight="false" outlineLevel="0" collapsed="false">
      <c r="A43" s="6" t="s">
        <v>226</v>
      </c>
      <c r="B43" s="6" t="s">
        <v>223</v>
      </c>
      <c r="C43" s="6" t="s">
        <v>80</v>
      </c>
      <c r="D43" s="6" t="s">
        <v>175</v>
      </c>
      <c r="E43" s="6" t="s">
        <v>36</v>
      </c>
      <c r="F43" s="6" t="s">
        <v>107</v>
      </c>
      <c r="G43" s="6" t="n">
        <v>423</v>
      </c>
      <c r="H43" s="6" t="s">
        <v>31</v>
      </c>
      <c r="I43" s="6"/>
      <c r="J43" s="6" t="s">
        <v>227</v>
      </c>
      <c r="K43" s="6"/>
      <c r="L43" s="6"/>
    </row>
    <row r="44" customFormat="false" ht="26.85" hidden="false" customHeight="false" outlineLevel="0" collapsed="false">
      <c r="A44" s="6" t="s">
        <v>228</v>
      </c>
      <c r="B44" s="6" t="s">
        <v>223</v>
      </c>
      <c r="C44" s="6" t="s">
        <v>229</v>
      </c>
      <c r="D44" s="6" t="s">
        <v>230</v>
      </c>
      <c r="E44" s="6" t="s">
        <v>131</v>
      </c>
      <c r="F44" s="6" t="s">
        <v>107</v>
      </c>
      <c r="G44" s="6" t="n">
        <v>423</v>
      </c>
      <c r="H44" s="6" t="s">
        <v>31</v>
      </c>
      <c r="I44" s="6"/>
      <c r="J44" s="6" t="s">
        <v>231</v>
      </c>
      <c r="K44" s="6" t="s">
        <v>232</v>
      </c>
      <c r="L44" s="6"/>
    </row>
    <row r="45" customFormat="false" ht="26.85" hidden="false" customHeight="false" outlineLevel="0" collapsed="false">
      <c r="A45" s="6" t="s">
        <v>233</v>
      </c>
      <c r="B45" s="6" t="s">
        <v>223</v>
      </c>
      <c r="C45" s="6" t="s">
        <v>234</v>
      </c>
      <c r="D45" s="6" t="s">
        <v>235</v>
      </c>
      <c r="E45" s="6" t="s">
        <v>131</v>
      </c>
      <c r="F45" s="6" t="s">
        <v>107</v>
      </c>
      <c r="G45" s="6" t="n">
        <v>423</v>
      </c>
      <c r="H45" s="6" t="s">
        <v>31</v>
      </c>
      <c r="I45" s="6"/>
      <c r="J45" s="6" t="s">
        <v>236</v>
      </c>
      <c r="K45" s="6" t="s">
        <v>237</v>
      </c>
      <c r="L45" s="6"/>
    </row>
    <row r="46" customFormat="false" ht="26.85" hidden="false" customHeight="false" outlineLevel="0" collapsed="false">
      <c r="A46" s="6" t="s">
        <v>238</v>
      </c>
      <c r="B46" s="6" t="s">
        <v>223</v>
      </c>
      <c r="C46" s="6" t="s">
        <v>239</v>
      </c>
      <c r="D46" s="6" t="s">
        <v>240</v>
      </c>
      <c r="E46" s="6" t="s">
        <v>36</v>
      </c>
      <c r="F46" s="6" t="s">
        <v>107</v>
      </c>
      <c r="G46" s="6" t="n">
        <v>423</v>
      </c>
      <c r="H46" s="6" t="s">
        <v>31</v>
      </c>
      <c r="I46" s="6"/>
      <c r="J46" s="6" t="s">
        <v>241</v>
      </c>
      <c r="K46" s="6" t="s">
        <v>113</v>
      </c>
      <c r="L46" s="6"/>
    </row>
    <row r="47" customFormat="false" ht="15" hidden="false" customHeight="false" outlineLevel="0" collapsed="false">
      <c r="A47" s="6" t="s">
        <v>242</v>
      </c>
      <c r="B47" s="6" t="s">
        <v>243</v>
      </c>
      <c r="C47" s="6" t="s">
        <v>244</v>
      </c>
      <c r="D47" s="6" t="s">
        <v>245</v>
      </c>
      <c r="E47" s="6" t="s">
        <v>36</v>
      </c>
      <c r="F47" s="6" t="s">
        <v>30</v>
      </c>
      <c r="G47" s="6" t="n">
        <v>424</v>
      </c>
      <c r="H47" s="6" t="s">
        <v>31</v>
      </c>
      <c r="I47" s="6"/>
      <c r="J47" s="6" t="s">
        <v>246</v>
      </c>
      <c r="K47" s="6"/>
      <c r="L47" s="6"/>
    </row>
    <row r="48" customFormat="false" ht="26.85" hidden="false" customHeight="false" outlineLevel="0" collapsed="false">
      <c r="A48" s="6" t="s">
        <v>247</v>
      </c>
      <c r="B48" s="6" t="s">
        <v>223</v>
      </c>
      <c r="C48" s="6" t="s">
        <v>248</v>
      </c>
      <c r="D48" s="6" t="s">
        <v>249</v>
      </c>
      <c r="E48" s="6" t="s">
        <v>42</v>
      </c>
      <c r="F48" s="6" t="s">
        <v>107</v>
      </c>
      <c r="G48" s="6" t="n">
        <v>424</v>
      </c>
      <c r="H48" s="6" t="s">
        <v>31</v>
      </c>
      <c r="I48" s="6"/>
      <c r="J48" s="6" t="s">
        <v>250</v>
      </c>
      <c r="K48" s="6"/>
      <c r="L48" s="6"/>
    </row>
    <row r="49" customFormat="false" ht="26.85" hidden="false" customHeight="false" outlineLevel="0" collapsed="false">
      <c r="A49" s="6" t="s">
        <v>251</v>
      </c>
      <c r="B49" s="6" t="s">
        <v>243</v>
      </c>
      <c r="C49" s="6" t="s">
        <v>252</v>
      </c>
      <c r="D49" s="6" t="s">
        <v>253</v>
      </c>
      <c r="E49" s="6" t="s">
        <v>42</v>
      </c>
      <c r="F49" s="6" t="s">
        <v>30</v>
      </c>
      <c r="G49" s="6" t="n">
        <v>424</v>
      </c>
      <c r="H49" s="6" t="s">
        <v>31</v>
      </c>
      <c r="I49" s="6"/>
      <c r="J49" s="6" t="s">
        <v>254</v>
      </c>
      <c r="K49" s="6"/>
      <c r="L49" s="6"/>
    </row>
    <row r="50" customFormat="false" ht="39.55" hidden="false" customHeight="false" outlineLevel="0" collapsed="false">
      <c r="A50" s="8" t="s">
        <v>255</v>
      </c>
      <c r="B50" s="8" t="s">
        <v>256</v>
      </c>
      <c r="C50" s="8" t="s">
        <v>257</v>
      </c>
      <c r="D50" s="8" t="s">
        <v>258</v>
      </c>
      <c r="E50" s="8" t="s">
        <v>42</v>
      </c>
      <c r="F50" s="8" t="s">
        <v>75</v>
      </c>
      <c r="G50" s="8" t="n">
        <v>424</v>
      </c>
      <c r="H50" s="8" t="s">
        <v>76</v>
      </c>
      <c r="I50" s="8" t="s">
        <v>259</v>
      </c>
      <c r="J50" s="8"/>
      <c r="K50" s="8"/>
      <c r="L50" s="8"/>
    </row>
    <row r="51" customFormat="false" ht="26.85" hidden="false" customHeight="false" outlineLevel="0" collapsed="false">
      <c r="A51" s="8" t="s">
        <v>260</v>
      </c>
      <c r="B51" s="8" t="s">
        <v>256</v>
      </c>
      <c r="C51" s="8" t="s">
        <v>261</v>
      </c>
      <c r="D51" s="8" t="s">
        <v>262</v>
      </c>
      <c r="E51" s="8" t="s">
        <v>131</v>
      </c>
      <c r="F51" s="8" t="s">
        <v>75</v>
      </c>
      <c r="G51" s="8" t="n">
        <v>424</v>
      </c>
      <c r="H51" s="8" t="s">
        <v>76</v>
      </c>
      <c r="I51" s="8" t="s">
        <v>263</v>
      </c>
      <c r="J51" s="8"/>
      <c r="K51" s="8"/>
      <c r="L51" s="8"/>
    </row>
    <row r="52" customFormat="false" ht="26.85" hidden="false" customHeight="false" outlineLevel="0" collapsed="false">
      <c r="A52" s="8" t="s">
        <v>264</v>
      </c>
      <c r="B52" s="8" t="s">
        <v>178</v>
      </c>
      <c r="C52" s="8" t="s">
        <v>265</v>
      </c>
      <c r="D52" s="8" t="s">
        <v>206</v>
      </c>
      <c r="E52" s="8" t="s">
        <v>36</v>
      </c>
      <c r="F52" s="8" t="s">
        <v>75</v>
      </c>
      <c r="G52" s="8" t="n">
        <v>424</v>
      </c>
      <c r="H52" s="8" t="s">
        <v>76</v>
      </c>
      <c r="I52" s="8" t="s">
        <v>266</v>
      </c>
      <c r="J52" s="8"/>
      <c r="K52" s="8"/>
      <c r="L52" s="8"/>
    </row>
    <row r="53" customFormat="false" ht="15" hidden="false" customHeight="false" outlineLevel="0" collapsed="false">
      <c r="A53" s="8" t="s">
        <v>267</v>
      </c>
      <c r="B53" s="8" t="s">
        <v>256</v>
      </c>
      <c r="C53" s="8" t="s">
        <v>268</v>
      </c>
      <c r="D53" s="8" t="s">
        <v>269</v>
      </c>
      <c r="E53" s="8" t="s">
        <v>42</v>
      </c>
      <c r="F53" s="8" t="s">
        <v>75</v>
      </c>
      <c r="G53" s="8" t="n">
        <v>424</v>
      </c>
      <c r="H53" s="8" t="s">
        <v>76</v>
      </c>
      <c r="I53" s="8" t="s">
        <v>270</v>
      </c>
      <c r="J53" s="8"/>
      <c r="K53" s="8"/>
      <c r="L53" s="8"/>
    </row>
    <row r="54" customFormat="false" ht="15" hidden="false" customHeight="false" outlineLevel="0" collapsed="false">
      <c r="A54" s="6" t="s">
        <v>271</v>
      </c>
      <c r="B54" s="6" t="s">
        <v>272</v>
      </c>
      <c r="C54" s="6" t="s">
        <v>27</v>
      </c>
      <c r="D54" s="6" t="s">
        <v>74</v>
      </c>
      <c r="E54" s="6" t="s">
        <v>36</v>
      </c>
      <c r="F54" s="6" t="s">
        <v>107</v>
      </c>
      <c r="G54" s="6" t="n">
        <v>424</v>
      </c>
      <c r="H54" s="6" t="s">
        <v>31</v>
      </c>
      <c r="I54" s="6"/>
      <c r="J54" s="6" t="s">
        <v>273</v>
      </c>
      <c r="K54" s="6" t="s">
        <v>274</v>
      </c>
      <c r="L54" s="6"/>
    </row>
    <row r="55" customFormat="false" ht="26.85" hidden="false" customHeight="false" outlineLevel="0" collapsed="false">
      <c r="A55" s="6" t="s">
        <v>275</v>
      </c>
      <c r="B55" s="6" t="s">
        <v>272</v>
      </c>
      <c r="C55" s="6" t="s">
        <v>34</v>
      </c>
      <c r="D55" s="6" t="s">
        <v>276</v>
      </c>
      <c r="E55" s="6" t="s">
        <v>36</v>
      </c>
      <c r="F55" s="6" t="s">
        <v>107</v>
      </c>
      <c r="G55" s="6" t="n">
        <v>424</v>
      </c>
      <c r="H55" s="6" t="s">
        <v>31</v>
      </c>
      <c r="I55" s="6"/>
      <c r="J55" s="6" t="s">
        <v>277</v>
      </c>
      <c r="K55" s="6"/>
      <c r="L55" s="6"/>
    </row>
    <row r="56" customFormat="false" ht="15" hidden="false" customHeight="false" outlineLevel="0" collapsed="false">
      <c r="A56" s="6" t="s">
        <v>278</v>
      </c>
      <c r="B56" s="6" t="s">
        <v>272</v>
      </c>
      <c r="C56" s="6" t="s">
        <v>279</v>
      </c>
      <c r="D56" s="6" t="s">
        <v>280</v>
      </c>
      <c r="E56" s="6" t="s">
        <v>42</v>
      </c>
      <c r="F56" s="6" t="s">
        <v>107</v>
      </c>
      <c r="G56" s="6" t="n">
        <v>424</v>
      </c>
      <c r="H56" s="6" t="s">
        <v>31</v>
      </c>
      <c r="I56" s="6"/>
      <c r="J56" s="6" t="s">
        <v>281</v>
      </c>
      <c r="K56" s="6"/>
      <c r="L56" s="6"/>
    </row>
    <row r="57" customFormat="false" ht="15" hidden="false" customHeight="false" outlineLevel="0" collapsed="false">
      <c r="A57" s="6" t="s">
        <v>282</v>
      </c>
      <c r="B57" s="6" t="s">
        <v>272</v>
      </c>
      <c r="C57" s="6" t="s">
        <v>283</v>
      </c>
      <c r="D57" s="6" t="s">
        <v>284</v>
      </c>
      <c r="E57" s="6" t="s">
        <v>36</v>
      </c>
      <c r="F57" s="6" t="s">
        <v>107</v>
      </c>
      <c r="G57" s="6" t="n">
        <v>424</v>
      </c>
      <c r="H57" s="6" t="s">
        <v>31</v>
      </c>
      <c r="I57" s="6"/>
      <c r="J57" s="6" t="s">
        <v>285</v>
      </c>
      <c r="K57" s="6"/>
      <c r="L57" s="6"/>
    </row>
    <row r="58" customFormat="false" ht="26.85" hidden="false" customHeight="false" outlineLevel="0" collapsed="false">
      <c r="A58" s="6" t="s">
        <v>286</v>
      </c>
      <c r="B58" s="6" t="s">
        <v>272</v>
      </c>
      <c r="C58" s="6" t="s">
        <v>287</v>
      </c>
      <c r="D58" s="6" t="s">
        <v>288</v>
      </c>
      <c r="E58" s="6" t="s">
        <v>36</v>
      </c>
      <c r="F58" s="6" t="s">
        <v>107</v>
      </c>
      <c r="G58" s="6" t="n">
        <v>424</v>
      </c>
      <c r="H58" s="6" t="s">
        <v>31</v>
      </c>
      <c r="I58" s="6"/>
      <c r="J58" s="6" t="s">
        <v>289</v>
      </c>
      <c r="K58" s="6"/>
      <c r="L58" s="6"/>
    </row>
    <row r="59" customFormat="false" ht="26.85" hidden="false" customHeight="false" outlineLevel="0" collapsed="false">
      <c r="A59" s="6" t="s">
        <v>290</v>
      </c>
      <c r="B59" s="6" t="s">
        <v>272</v>
      </c>
      <c r="C59" s="6" t="s">
        <v>291</v>
      </c>
      <c r="D59" s="6" t="s">
        <v>292</v>
      </c>
      <c r="E59" s="6" t="s">
        <v>36</v>
      </c>
      <c r="F59" s="6" t="s">
        <v>30</v>
      </c>
      <c r="G59" s="6" t="n">
        <v>424</v>
      </c>
      <c r="H59" s="6" t="s">
        <v>31</v>
      </c>
      <c r="I59" s="6"/>
      <c r="J59" s="6" t="s">
        <v>293</v>
      </c>
      <c r="K59" s="6"/>
      <c r="L59" s="6"/>
    </row>
    <row r="60" customFormat="false" ht="26.85" hidden="false" customHeight="false" outlineLevel="0" collapsed="false">
      <c r="A60" s="7" t="s">
        <v>294</v>
      </c>
      <c r="B60" s="7" t="s">
        <v>272</v>
      </c>
      <c r="C60" s="7" t="s">
        <v>295</v>
      </c>
      <c r="D60" s="7" t="s">
        <v>296</v>
      </c>
      <c r="E60" s="7" t="s">
        <v>36</v>
      </c>
      <c r="F60" s="7" t="s">
        <v>107</v>
      </c>
      <c r="G60" s="7" t="n">
        <v>424</v>
      </c>
      <c r="H60" s="7" t="s">
        <v>58</v>
      </c>
      <c r="I60" s="7" t="s">
        <v>297</v>
      </c>
      <c r="J60" s="7"/>
      <c r="K60" s="7"/>
      <c r="L60" s="7"/>
    </row>
    <row r="61" customFormat="false" ht="26.85" hidden="false" customHeight="false" outlineLevel="0" collapsed="false">
      <c r="A61" s="6" t="s">
        <v>298</v>
      </c>
      <c r="B61" s="6" t="s">
        <v>272</v>
      </c>
      <c r="C61" s="6" t="s">
        <v>299</v>
      </c>
      <c r="D61" s="6" t="s">
        <v>300</v>
      </c>
      <c r="E61" s="6" t="s">
        <v>42</v>
      </c>
      <c r="F61" s="6" t="s">
        <v>107</v>
      </c>
      <c r="G61" s="6" t="n">
        <v>424</v>
      </c>
      <c r="H61" s="6" t="s">
        <v>31</v>
      </c>
      <c r="I61" s="6"/>
      <c r="J61" s="6" t="s">
        <v>301</v>
      </c>
      <c r="K61" s="6"/>
      <c r="L61" s="6"/>
    </row>
    <row r="62" customFormat="false" ht="26.85" hidden="false" customHeight="false" outlineLevel="0" collapsed="false">
      <c r="A62" s="6" t="s">
        <v>302</v>
      </c>
      <c r="B62" s="6" t="s">
        <v>303</v>
      </c>
      <c r="C62" s="6" t="s">
        <v>80</v>
      </c>
      <c r="D62" s="6" t="s">
        <v>304</v>
      </c>
      <c r="E62" s="6" t="s">
        <v>131</v>
      </c>
      <c r="F62" s="6" t="s">
        <v>107</v>
      </c>
      <c r="G62" s="6" t="n">
        <v>424</v>
      </c>
      <c r="H62" s="6" t="s">
        <v>31</v>
      </c>
      <c r="I62" s="6"/>
      <c r="J62" s="6" t="s">
        <v>305</v>
      </c>
      <c r="K62" s="6"/>
      <c r="L62" s="6"/>
    </row>
    <row r="63" customFormat="false" ht="39.55" hidden="false" customHeight="false" outlineLevel="0" collapsed="false">
      <c r="A63" s="6" t="s">
        <v>306</v>
      </c>
      <c r="B63" s="6" t="s">
        <v>303</v>
      </c>
      <c r="C63" s="6" t="s">
        <v>307</v>
      </c>
      <c r="D63" s="6" t="s">
        <v>308</v>
      </c>
      <c r="E63" s="6" t="s">
        <v>131</v>
      </c>
      <c r="F63" s="6" t="s">
        <v>107</v>
      </c>
      <c r="G63" s="6" t="n">
        <v>424</v>
      </c>
      <c r="H63" s="6" t="s">
        <v>31</v>
      </c>
      <c r="I63" s="6"/>
      <c r="J63" s="6" t="s">
        <v>309</v>
      </c>
      <c r="K63" s="6" t="s">
        <v>310</v>
      </c>
      <c r="L63" s="6"/>
    </row>
    <row r="64" customFormat="false" ht="26.85" hidden="false" customHeight="false" outlineLevel="0" collapsed="false">
      <c r="A64" s="8" t="s">
        <v>311</v>
      </c>
      <c r="B64" s="8" t="s">
        <v>312</v>
      </c>
      <c r="C64" s="8" t="s">
        <v>313</v>
      </c>
      <c r="D64" s="8" t="s">
        <v>314</v>
      </c>
      <c r="E64" s="8" t="s">
        <v>29</v>
      </c>
      <c r="F64" s="8" t="s">
        <v>75</v>
      </c>
      <c r="G64" s="8" t="n">
        <v>424</v>
      </c>
      <c r="H64" s="8" t="s">
        <v>76</v>
      </c>
      <c r="I64" s="8" t="s">
        <v>315</v>
      </c>
      <c r="J64" s="8"/>
      <c r="K64" s="8"/>
      <c r="L64" s="8"/>
    </row>
    <row r="65" customFormat="false" ht="26.85" hidden="false" customHeight="false" outlineLevel="0" collapsed="false">
      <c r="A65" s="6" t="s">
        <v>316</v>
      </c>
      <c r="B65" s="6" t="s">
        <v>317</v>
      </c>
      <c r="C65" s="6" t="s">
        <v>318</v>
      </c>
      <c r="D65" s="6" t="s">
        <v>175</v>
      </c>
      <c r="E65" s="6" t="s">
        <v>36</v>
      </c>
      <c r="F65" s="6" t="s">
        <v>319</v>
      </c>
      <c r="G65" s="6" t="n">
        <v>424</v>
      </c>
      <c r="H65" s="6" t="s">
        <v>31</v>
      </c>
      <c r="I65" s="6"/>
      <c r="J65" s="6" t="s">
        <v>320</v>
      </c>
      <c r="K65" s="6"/>
      <c r="L65" s="6"/>
    </row>
    <row r="66" customFormat="false" ht="15" hidden="false" customHeight="false" outlineLevel="0" collapsed="false">
      <c r="A66" s="8" t="s">
        <v>321</v>
      </c>
      <c r="B66" s="8" t="s">
        <v>317</v>
      </c>
      <c r="C66" s="8" t="s">
        <v>322</v>
      </c>
      <c r="D66" s="8" t="s">
        <v>323</v>
      </c>
      <c r="E66" s="8" t="s">
        <v>36</v>
      </c>
      <c r="F66" s="8" t="s">
        <v>75</v>
      </c>
      <c r="G66" s="8" t="n">
        <v>424</v>
      </c>
      <c r="H66" s="8" t="s">
        <v>76</v>
      </c>
      <c r="I66" s="8" t="s">
        <v>324</v>
      </c>
      <c r="J66" s="8"/>
      <c r="K66" s="8"/>
      <c r="L66" s="8"/>
    </row>
    <row r="67" customFormat="false" ht="15" hidden="false" customHeight="false" outlineLevel="0" collapsed="false">
      <c r="A67" s="8" t="s">
        <v>325</v>
      </c>
      <c r="B67" s="8" t="s">
        <v>317</v>
      </c>
      <c r="C67" s="8" t="s">
        <v>326</v>
      </c>
      <c r="D67" s="8" t="s">
        <v>327</v>
      </c>
      <c r="E67" s="8" t="s">
        <v>36</v>
      </c>
      <c r="F67" s="8" t="s">
        <v>75</v>
      </c>
      <c r="G67" s="8" t="n">
        <v>424</v>
      </c>
      <c r="H67" s="8" t="s">
        <v>76</v>
      </c>
      <c r="I67" s="8" t="s">
        <v>328</v>
      </c>
      <c r="J67" s="8"/>
      <c r="K67" s="8"/>
      <c r="L67" s="8"/>
    </row>
    <row r="68" customFormat="false" ht="26.85" hidden="false" customHeight="false" outlineLevel="0" collapsed="false">
      <c r="A68" s="6" t="s">
        <v>329</v>
      </c>
      <c r="B68" s="6" t="s">
        <v>330</v>
      </c>
      <c r="C68" s="6" t="s">
        <v>331</v>
      </c>
      <c r="D68" s="6" t="s">
        <v>332</v>
      </c>
      <c r="E68" s="6" t="s">
        <v>42</v>
      </c>
      <c r="F68" s="6" t="s">
        <v>319</v>
      </c>
      <c r="G68" s="6" t="n">
        <v>424</v>
      </c>
      <c r="H68" s="6" t="s">
        <v>31</v>
      </c>
      <c r="I68" s="6"/>
      <c r="J68" s="6" t="s">
        <v>333</v>
      </c>
      <c r="K68" s="6"/>
      <c r="L68" s="6"/>
    </row>
    <row r="69" customFormat="false" ht="26.85" hidden="false" customHeight="false" outlineLevel="0" collapsed="false">
      <c r="A69" s="6" t="s">
        <v>334</v>
      </c>
      <c r="B69" s="6" t="s">
        <v>317</v>
      </c>
      <c r="C69" s="6" t="s">
        <v>335</v>
      </c>
      <c r="D69" s="6" t="s">
        <v>336</v>
      </c>
      <c r="E69" s="6" t="s">
        <v>42</v>
      </c>
      <c r="F69" s="6" t="s">
        <v>319</v>
      </c>
      <c r="G69" s="6" t="n">
        <v>424</v>
      </c>
      <c r="H69" s="6" t="s">
        <v>31</v>
      </c>
      <c r="I69" s="6"/>
      <c r="J69" s="6" t="s">
        <v>337</v>
      </c>
      <c r="K69" s="6"/>
      <c r="L69" s="6"/>
    </row>
    <row r="70" customFormat="false" ht="26.85" hidden="false" customHeight="false" outlineLevel="0" collapsed="false">
      <c r="A70" s="6" t="s">
        <v>338</v>
      </c>
      <c r="B70" s="6" t="s">
        <v>317</v>
      </c>
      <c r="C70" s="6" t="s">
        <v>339</v>
      </c>
      <c r="D70" s="6" t="s">
        <v>340</v>
      </c>
      <c r="E70" s="6" t="s">
        <v>36</v>
      </c>
      <c r="F70" s="6" t="s">
        <v>319</v>
      </c>
      <c r="G70" s="6" t="n">
        <v>424</v>
      </c>
      <c r="H70" s="6" t="s">
        <v>31</v>
      </c>
      <c r="I70" s="6"/>
      <c r="J70" s="6" t="s">
        <v>341</v>
      </c>
      <c r="K70" s="6" t="s">
        <v>342</v>
      </c>
      <c r="L70" s="6"/>
    </row>
    <row r="71" customFormat="false" ht="26.85" hidden="false" customHeight="false" outlineLevel="0" collapsed="false">
      <c r="A71" s="6" t="s">
        <v>343</v>
      </c>
      <c r="B71" s="6" t="s">
        <v>344</v>
      </c>
      <c r="C71" s="6" t="s">
        <v>345</v>
      </c>
      <c r="D71" s="6" t="s">
        <v>346</v>
      </c>
      <c r="E71" s="6" t="s">
        <v>36</v>
      </c>
      <c r="F71" s="6" t="s">
        <v>30</v>
      </c>
      <c r="G71" s="6" t="n">
        <v>424</v>
      </c>
      <c r="H71" s="6" t="s">
        <v>31</v>
      </c>
      <c r="I71" s="6"/>
      <c r="J71" s="6" t="s">
        <v>347</v>
      </c>
      <c r="K71" s="6"/>
      <c r="L71" s="6"/>
    </row>
    <row r="72" customFormat="false" ht="26.85" hidden="false" customHeight="false" outlineLevel="0" collapsed="false">
      <c r="A72" s="6" t="s">
        <v>348</v>
      </c>
      <c r="B72" s="6" t="s">
        <v>344</v>
      </c>
      <c r="C72" s="6" t="s">
        <v>349</v>
      </c>
      <c r="D72" s="6" t="s">
        <v>350</v>
      </c>
      <c r="E72" s="6" t="s">
        <v>42</v>
      </c>
      <c r="F72" s="6" t="s">
        <v>30</v>
      </c>
      <c r="G72" s="6" t="n">
        <v>424</v>
      </c>
      <c r="H72" s="6" t="s">
        <v>31</v>
      </c>
      <c r="I72" s="6"/>
      <c r="J72" s="6" t="s">
        <v>351</v>
      </c>
      <c r="K72" s="6"/>
      <c r="L72" s="6"/>
    </row>
    <row r="73" customFormat="false" ht="26.85" hidden="false" customHeight="false" outlineLevel="0" collapsed="false">
      <c r="A73" s="6" t="s">
        <v>352</v>
      </c>
      <c r="B73" s="6" t="s">
        <v>353</v>
      </c>
      <c r="C73" s="6" t="s">
        <v>354</v>
      </c>
      <c r="D73" s="6" t="s">
        <v>355</v>
      </c>
      <c r="E73" s="6" t="s">
        <v>42</v>
      </c>
      <c r="F73" s="6" t="s">
        <v>107</v>
      </c>
      <c r="G73" s="6" t="n">
        <v>424</v>
      </c>
      <c r="H73" s="6" t="s">
        <v>31</v>
      </c>
      <c r="I73" s="6"/>
      <c r="J73" s="6" t="s">
        <v>356</v>
      </c>
      <c r="K73" s="6"/>
      <c r="L73" s="6"/>
    </row>
    <row r="74" customFormat="false" ht="26.85" hidden="false" customHeight="false" outlineLevel="0" collapsed="false">
      <c r="A74" s="6" t="s">
        <v>357</v>
      </c>
      <c r="B74" s="6" t="s">
        <v>353</v>
      </c>
      <c r="C74" s="6" t="s">
        <v>358</v>
      </c>
      <c r="D74" s="6" t="s">
        <v>359</v>
      </c>
      <c r="E74" s="6" t="s">
        <v>36</v>
      </c>
      <c r="F74" s="6" t="s">
        <v>107</v>
      </c>
      <c r="G74" s="6" t="n">
        <v>424</v>
      </c>
      <c r="H74" s="6" t="s">
        <v>31</v>
      </c>
      <c r="I74" s="6"/>
      <c r="J74" s="6" t="s">
        <v>360</v>
      </c>
      <c r="K74" s="6"/>
      <c r="L74" s="6"/>
    </row>
    <row r="75" customFormat="false" ht="26.85" hidden="false" customHeight="false" outlineLevel="0" collapsed="false">
      <c r="A75" s="6" t="s">
        <v>361</v>
      </c>
      <c r="B75" s="6" t="s">
        <v>362</v>
      </c>
      <c r="C75" s="6" t="s">
        <v>363</v>
      </c>
      <c r="D75" s="6" t="s">
        <v>364</v>
      </c>
      <c r="E75" s="6" t="s">
        <v>36</v>
      </c>
      <c r="F75" s="6" t="s">
        <v>57</v>
      </c>
      <c r="G75" s="6" t="n">
        <v>424</v>
      </c>
      <c r="H75" s="6" t="s">
        <v>31</v>
      </c>
      <c r="I75" s="6"/>
      <c r="J75" s="6" t="s">
        <v>365</v>
      </c>
      <c r="K75" s="6"/>
      <c r="L75" s="6"/>
    </row>
    <row r="76" customFormat="false" ht="26.85" hidden="false" customHeight="false" outlineLevel="0" collapsed="false">
      <c r="A76" s="6" t="s">
        <v>366</v>
      </c>
      <c r="B76" s="6" t="s">
        <v>362</v>
      </c>
      <c r="C76" s="6" t="s">
        <v>40</v>
      </c>
      <c r="D76" s="6" t="s">
        <v>367</v>
      </c>
      <c r="E76" s="6" t="s">
        <v>42</v>
      </c>
      <c r="F76" s="6" t="s">
        <v>57</v>
      </c>
      <c r="G76" s="6" t="n">
        <v>424</v>
      </c>
      <c r="H76" s="6" t="s">
        <v>31</v>
      </c>
      <c r="I76" s="6"/>
      <c r="J76" s="6" t="s">
        <v>368</v>
      </c>
      <c r="K76" s="6"/>
      <c r="L76" s="6"/>
    </row>
    <row r="77" customFormat="false" ht="26.85" hidden="false" customHeight="false" outlineLevel="0" collapsed="false">
      <c r="A77" s="6" t="s">
        <v>369</v>
      </c>
      <c r="B77" s="6" t="s">
        <v>370</v>
      </c>
      <c r="C77" s="6" t="s">
        <v>371</v>
      </c>
      <c r="D77" s="6" t="s">
        <v>372</v>
      </c>
      <c r="E77" s="6" t="s">
        <v>42</v>
      </c>
      <c r="F77" s="6" t="s">
        <v>30</v>
      </c>
      <c r="G77" s="6" t="n">
        <v>424</v>
      </c>
      <c r="H77" s="6" t="s">
        <v>31</v>
      </c>
      <c r="I77" s="6"/>
      <c r="J77" s="6" t="s">
        <v>373</v>
      </c>
      <c r="K77" s="6"/>
      <c r="L77" s="6"/>
    </row>
    <row r="78" customFormat="false" ht="15" hidden="false" customHeight="false" outlineLevel="0" collapsed="false">
      <c r="A78" s="6" t="s">
        <v>374</v>
      </c>
      <c r="B78" s="6" t="s">
        <v>375</v>
      </c>
      <c r="C78" s="6" t="s">
        <v>376</v>
      </c>
      <c r="D78" s="6" t="s">
        <v>377</v>
      </c>
      <c r="E78" s="6" t="s">
        <v>36</v>
      </c>
      <c r="F78" s="6" t="s">
        <v>107</v>
      </c>
      <c r="G78" s="6" t="n">
        <v>424</v>
      </c>
      <c r="H78" s="6" t="s">
        <v>31</v>
      </c>
      <c r="I78" s="6"/>
      <c r="J78" s="6" t="s">
        <v>378</v>
      </c>
      <c r="K78" s="6" t="s">
        <v>274</v>
      </c>
      <c r="L78" s="6"/>
    </row>
    <row r="79" customFormat="false" ht="15" hidden="false" customHeight="false" outlineLevel="0" collapsed="false">
      <c r="A79" s="6" t="s">
        <v>379</v>
      </c>
      <c r="B79" s="6" t="s">
        <v>375</v>
      </c>
      <c r="C79" s="6" t="s">
        <v>115</v>
      </c>
      <c r="D79" s="6" t="s">
        <v>380</v>
      </c>
      <c r="E79" s="6" t="s">
        <v>36</v>
      </c>
      <c r="F79" s="6" t="s">
        <v>107</v>
      </c>
      <c r="G79" s="6" t="n">
        <v>424</v>
      </c>
      <c r="H79" s="6" t="s">
        <v>31</v>
      </c>
      <c r="I79" s="6"/>
      <c r="J79" s="6" t="s">
        <v>381</v>
      </c>
      <c r="K79" s="6"/>
      <c r="L79" s="6"/>
    </row>
    <row r="80" customFormat="false" ht="26.85" hidden="false" customHeight="false" outlineLevel="0" collapsed="false">
      <c r="A80" s="6" t="s">
        <v>382</v>
      </c>
      <c r="B80" s="6" t="s">
        <v>375</v>
      </c>
      <c r="C80" s="6" t="s">
        <v>383</v>
      </c>
      <c r="D80" s="6" t="s">
        <v>384</v>
      </c>
      <c r="E80" s="6" t="s">
        <v>42</v>
      </c>
      <c r="F80" s="6" t="s">
        <v>107</v>
      </c>
      <c r="G80" s="6" t="n">
        <v>424</v>
      </c>
      <c r="H80" s="6" t="s">
        <v>31</v>
      </c>
      <c r="I80" s="6"/>
      <c r="J80" s="6" t="s">
        <v>385</v>
      </c>
      <c r="K80" s="6"/>
      <c r="L80" s="6"/>
    </row>
    <row r="81" customFormat="false" ht="39.55" hidden="false" customHeight="false" outlineLevel="0" collapsed="false">
      <c r="A81" s="7" t="s">
        <v>386</v>
      </c>
      <c r="B81" s="7" t="s">
        <v>387</v>
      </c>
      <c r="C81" s="7" t="s">
        <v>27</v>
      </c>
      <c r="D81" s="7" t="s">
        <v>388</v>
      </c>
      <c r="E81" s="7" t="s">
        <v>36</v>
      </c>
      <c r="F81" s="7" t="s">
        <v>57</v>
      </c>
      <c r="G81" s="7" t="n">
        <v>424</v>
      </c>
      <c r="H81" s="7" t="s">
        <v>58</v>
      </c>
      <c r="I81" s="7" t="s">
        <v>389</v>
      </c>
      <c r="J81" s="7"/>
      <c r="K81" s="7"/>
      <c r="L81" s="7"/>
    </row>
    <row r="82" customFormat="false" ht="26.85" hidden="false" customHeight="false" outlineLevel="0" collapsed="false">
      <c r="A82" s="6" t="s">
        <v>390</v>
      </c>
      <c r="B82" s="6" t="s">
        <v>387</v>
      </c>
      <c r="C82" s="6" t="s">
        <v>391</v>
      </c>
      <c r="D82" s="6" t="s">
        <v>392</v>
      </c>
      <c r="E82" s="6" t="s">
        <v>36</v>
      </c>
      <c r="F82" s="6" t="s">
        <v>57</v>
      </c>
      <c r="G82" s="6" t="n">
        <v>424</v>
      </c>
      <c r="H82" s="6" t="s">
        <v>31</v>
      </c>
      <c r="I82" s="6"/>
      <c r="J82" s="6" t="s">
        <v>393</v>
      </c>
      <c r="K82" s="6" t="s">
        <v>394</v>
      </c>
      <c r="L82" s="6"/>
    </row>
    <row r="83" customFormat="false" ht="26.85" hidden="false" customHeight="false" outlineLevel="0" collapsed="false">
      <c r="A83" s="7" t="s">
        <v>395</v>
      </c>
      <c r="B83" s="7" t="s">
        <v>387</v>
      </c>
      <c r="C83" s="7" t="s">
        <v>396</v>
      </c>
      <c r="D83" s="7" t="s">
        <v>397</v>
      </c>
      <c r="E83" s="7" t="s">
        <v>42</v>
      </c>
      <c r="F83" s="7" t="s">
        <v>57</v>
      </c>
      <c r="G83" s="7" t="n">
        <v>425</v>
      </c>
      <c r="H83" s="7" t="s">
        <v>58</v>
      </c>
      <c r="I83" s="7" t="s">
        <v>398</v>
      </c>
      <c r="J83" s="7"/>
      <c r="K83" s="7"/>
      <c r="L83" s="7"/>
    </row>
    <row r="84" customFormat="false" ht="26.85" hidden="false" customHeight="false" outlineLevel="0" collapsed="false">
      <c r="A84" s="7" t="s">
        <v>399</v>
      </c>
      <c r="B84" s="7" t="s">
        <v>387</v>
      </c>
      <c r="C84" s="7" t="s">
        <v>400</v>
      </c>
      <c r="D84" s="7" t="s">
        <v>401</v>
      </c>
      <c r="E84" s="7" t="s">
        <v>36</v>
      </c>
      <c r="F84" s="7" t="s">
        <v>57</v>
      </c>
      <c r="G84" s="7" t="n">
        <v>425</v>
      </c>
      <c r="H84" s="7" t="s">
        <v>58</v>
      </c>
      <c r="I84" s="7" t="s">
        <v>402</v>
      </c>
      <c r="J84" s="7"/>
      <c r="K84" s="7"/>
      <c r="L84" s="7"/>
    </row>
    <row r="85" customFormat="false" ht="26.85" hidden="false" customHeight="false" outlineLevel="0" collapsed="false">
      <c r="A85" s="6" t="s">
        <v>403</v>
      </c>
      <c r="B85" s="6" t="s">
        <v>387</v>
      </c>
      <c r="C85" s="6" t="s">
        <v>248</v>
      </c>
      <c r="D85" s="6" t="s">
        <v>404</v>
      </c>
      <c r="E85" s="6" t="s">
        <v>42</v>
      </c>
      <c r="F85" s="6" t="s">
        <v>57</v>
      </c>
      <c r="G85" s="6" t="n">
        <v>425</v>
      </c>
      <c r="H85" s="6" t="s">
        <v>31</v>
      </c>
      <c r="I85" s="6"/>
      <c r="J85" s="6" t="s">
        <v>405</v>
      </c>
      <c r="K85" s="6"/>
      <c r="L85" s="6"/>
    </row>
    <row r="86" customFormat="false" ht="26.85" hidden="false" customHeight="false" outlineLevel="0" collapsed="false">
      <c r="A86" s="6" t="s">
        <v>406</v>
      </c>
      <c r="B86" s="6" t="s">
        <v>79</v>
      </c>
      <c r="C86" s="6" t="s">
        <v>407</v>
      </c>
      <c r="D86" s="6" t="s">
        <v>408</v>
      </c>
      <c r="E86" s="6" t="s">
        <v>36</v>
      </c>
      <c r="F86" s="6" t="s">
        <v>30</v>
      </c>
      <c r="G86" s="6" t="n">
        <v>425</v>
      </c>
      <c r="H86" s="6" t="s">
        <v>31</v>
      </c>
      <c r="I86" s="6"/>
      <c r="J86" s="6" t="s">
        <v>409</v>
      </c>
      <c r="K86" s="6" t="s">
        <v>410</v>
      </c>
      <c r="L86" s="6"/>
    </row>
    <row r="87" customFormat="false" ht="15" hidden="false" customHeight="false" outlineLevel="0" collapsed="false">
      <c r="A87" s="6" t="s">
        <v>411</v>
      </c>
      <c r="B87" s="6" t="s">
        <v>412</v>
      </c>
      <c r="C87" s="6" t="s">
        <v>239</v>
      </c>
      <c r="D87" s="6" t="s">
        <v>413</v>
      </c>
      <c r="E87" s="6" t="s">
        <v>36</v>
      </c>
      <c r="F87" s="6" t="s">
        <v>30</v>
      </c>
      <c r="G87" s="6" t="n">
        <v>425</v>
      </c>
      <c r="H87" s="6" t="s">
        <v>31</v>
      </c>
      <c r="I87" s="6"/>
      <c r="J87" s="6" t="s">
        <v>414</v>
      </c>
      <c r="K87" s="6"/>
      <c r="L87" s="6"/>
    </row>
    <row r="88" customFormat="false" ht="26.85" hidden="false" customHeight="false" outlineLevel="0" collapsed="false">
      <c r="A88" s="6" t="s">
        <v>415</v>
      </c>
      <c r="B88" s="6" t="s">
        <v>412</v>
      </c>
      <c r="C88" s="6" t="s">
        <v>416</v>
      </c>
      <c r="D88" s="6" t="s">
        <v>417</v>
      </c>
      <c r="E88" s="6" t="s">
        <v>36</v>
      </c>
      <c r="F88" s="6" t="s">
        <v>30</v>
      </c>
      <c r="G88" s="6" t="n">
        <v>425</v>
      </c>
      <c r="H88" s="6" t="s">
        <v>31</v>
      </c>
      <c r="I88" s="6"/>
      <c r="J88" s="6" t="s">
        <v>418</v>
      </c>
      <c r="K88" s="6" t="s">
        <v>113</v>
      </c>
      <c r="L88" s="6"/>
    </row>
    <row r="89" customFormat="false" ht="26.85" hidden="false" customHeight="false" outlineLevel="0" collapsed="false">
      <c r="A89" s="6" t="s">
        <v>419</v>
      </c>
      <c r="B89" s="6" t="s">
        <v>412</v>
      </c>
      <c r="C89" s="6" t="s">
        <v>420</v>
      </c>
      <c r="D89" s="6" t="s">
        <v>421</v>
      </c>
      <c r="E89" s="6" t="s">
        <v>36</v>
      </c>
      <c r="F89" s="6" t="s">
        <v>30</v>
      </c>
      <c r="G89" s="6" t="n">
        <v>425</v>
      </c>
      <c r="H89" s="6" t="s">
        <v>31</v>
      </c>
      <c r="I89" s="6"/>
      <c r="J89" s="6" t="s">
        <v>422</v>
      </c>
      <c r="K89" s="6"/>
      <c r="L89" s="6"/>
    </row>
    <row r="90" customFormat="false" ht="15" hidden="false" customHeight="false" outlineLevel="0" collapsed="false">
      <c r="A90" s="6" t="s">
        <v>423</v>
      </c>
      <c r="B90" s="6" t="s">
        <v>412</v>
      </c>
      <c r="C90" s="6" t="s">
        <v>34</v>
      </c>
      <c r="D90" s="6" t="s">
        <v>401</v>
      </c>
      <c r="E90" s="6" t="s">
        <v>36</v>
      </c>
      <c r="F90" s="6" t="s">
        <v>30</v>
      </c>
      <c r="G90" s="6" t="n">
        <v>425</v>
      </c>
      <c r="H90" s="6" t="s">
        <v>31</v>
      </c>
      <c r="I90" s="6"/>
      <c r="J90" s="6" t="s">
        <v>424</v>
      </c>
      <c r="K90" s="6" t="s">
        <v>113</v>
      </c>
      <c r="L90" s="6"/>
    </row>
    <row r="91" customFormat="false" ht="26.85" hidden="false" customHeight="false" outlineLevel="0" collapsed="false">
      <c r="A91" s="6" t="s">
        <v>425</v>
      </c>
      <c r="B91" s="6" t="s">
        <v>412</v>
      </c>
      <c r="C91" s="6" t="s">
        <v>40</v>
      </c>
      <c r="D91" s="6" t="s">
        <v>426</v>
      </c>
      <c r="E91" s="6" t="s">
        <v>42</v>
      </c>
      <c r="F91" s="6" t="s">
        <v>30</v>
      </c>
      <c r="G91" s="6" t="n">
        <v>425</v>
      </c>
      <c r="H91" s="6" t="s">
        <v>31</v>
      </c>
      <c r="I91" s="6"/>
      <c r="J91" s="6" t="s">
        <v>427</v>
      </c>
      <c r="K91" s="6"/>
      <c r="L91" s="6"/>
    </row>
    <row r="92" customFormat="false" ht="26.85" hidden="false" customHeight="false" outlineLevel="0" collapsed="false">
      <c r="A92" s="6" t="s">
        <v>428</v>
      </c>
      <c r="B92" s="6" t="s">
        <v>429</v>
      </c>
      <c r="C92" s="6" t="s">
        <v>430</v>
      </c>
      <c r="D92" s="6" t="s">
        <v>431</v>
      </c>
      <c r="E92" s="6" t="s">
        <v>42</v>
      </c>
      <c r="F92" s="6" t="s">
        <v>107</v>
      </c>
      <c r="G92" s="6" t="n">
        <v>425</v>
      </c>
      <c r="H92" s="6" t="s">
        <v>31</v>
      </c>
      <c r="I92" s="6"/>
      <c r="J92" s="6" t="s">
        <v>432</v>
      </c>
      <c r="K92" s="6" t="s">
        <v>433</v>
      </c>
      <c r="L92" s="6"/>
    </row>
    <row r="93" customFormat="false" ht="15" hidden="false" customHeight="false" outlineLevel="0" collapsed="false">
      <c r="A93" s="7" t="s">
        <v>434</v>
      </c>
      <c r="B93" s="7" t="s">
        <v>435</v>
      </c>
      <c r="C93" s="7" t="s">
        <v>436</v>
      </c>
      <c r="D93" s="7" t="s">
        <v>437</v>
      </c>
      <c r="E93" s="7" t="s">
        <v>36</v>
      </c>
      <c r="F93" s="7" t="s">
        <v>30</v>
      </c>
      <c r="G93" s="7" t="n">
        <v>426</v>
      </c>
      <c r="H93" s="7" t="s">
        <v>58</v>
      </c>
      <c r="I93" s="7" t="s">
        <v>438</v>
      </c>
      <c r="J93" s="7"/>
      <c r="K93" s="7"/>
      <c r="L93" s="7"/>
    </row>
    <row r="94" customFormat="false" ht="26.85" hidden="false" customHeight="false" outlineLevel="0" collapsed="false">
      <c r="A94" s="6" t="s">
        <v>439</v>
      </c>
      <c r="B94" s="6" t="s">
        <v>435</v>
      </c>
      <c r="C94" s="6" t="s">
        <v>440</v>
      </c>
      <c r="D94" s="6" t="s">
        <v>441</v>
      </c>
      <c r="E94" s="6" t="s">
        <v>36</v>
      </c>
      <c r="F94" s="6" t="s">
        <v>30</v>
      </c>
      <c r="G94" s="6" t="n">
        <v>426</v>
      </c>
      <c r="H94" s="6" t="s">
        <v>31</v>
      </c>
      <c r="I94" s="6"/>
      <c r="J94" s="6" t="s">
        <v>442</v>
      </c>
      <c r="K94" s="6" t="s">
        <v>443</v>
      </c>
      <c r="L94" s="6"/>
    </row>
    <row r="95" customFormat="false" ht="26.85" hidden="false" customHeight="false" outlineLevel="0" collapsed="false">
      <c r="A95" s="6" t="s">
        <v>444</v>
      </c>
      <c r="B95" s="6" t="s">
        <v>435</v>
      </c>
      <c r="C95" s="6" t="s">
        <v>445</v>
      </c>
      <c r="D95" s="6" t="s">
        <v>446</v>
      </c>
      <c r="E95" s="6" t="s">
        <v>36</v>
      </c>
      <c r="F95" s="6" t="s">
        <v>30</v>
      </c>
      <c r="G95" s="6" t="n">
        <v>426</v>
      </c>
      <c r="H95" s="6" t="s">
        <v>31</v>
      </c>
      <c r="I95" s="6"/>
      <c r="J95" s="6" t="s">
        <v>447</v>
      </c>
      <c r="K95" s="6" t="s">
        <v>113</v>
      </c>
      <c r="L95" s="6"/>
    </row>
    <row r="96" customFormat="false" ht="26.85" hidden="false" customHeight="false" outlineLevel="0" collapsed="false">
      <c r="A96" s="6" t="s">
        <v>448</v>
      </c>
      <c r="B96" s="6" t="s">
        <v>435</v>
      </c>
      <c r="C96" s="6" t="s">
        <v>383</v>
      </c>
      <c r="D96" s="6" t="s">
        <v>449</v>
      </c>
      <c r="E96" s="6" t="s">
        <v>42</v>
      </c>
      <c r="F96" s="6" t="s">
        <v>30</v>
      </c>
      <c r="G96" s="6" t="n">
        <v>427</v>
      </c>
      <c r="H96" s="6" t="s">
        <v>31</v>
      </c>
      <c r="I96" s="6"/>
      <c r="J96" s="6" t="s">
        <v>450</v>
      </c>
      <c r="K96" s="6"/>
      <c r="L96" s="6"/>
    </row>
    <row r="97" customFormat="false" ht="15" hidden="false" customHeight="false" outlineLevel="0" collapsed="false">
      <c r="A97" s="6" t="s">
        <v>451</v>
      </c>
      <c r="B97" s="6" t="s">
        <v>452</v>
      </c>
      <c r="C97" s="6" t="s">
        <v>453</v>
      </c>
      <c r="D97" s="6" t="s">
        <v>454</v>
      </c>
      <c r="E97" s="6" t="s">
        <v>36</v>
      </c>
      <c r="F97" s="6" t="s">
        <v>30</v>
      </c>
      <c r="G97" s="6" t="n">
        <v>427</v>
      </c>
      <c r="H97" s="6" t="s">
        <v>31</v>
      </c>
      <c r="I97" s="6"/>
      <c r="J97" s="6" t="s">
        <v>455</v>
      </c>
      <c r="K97" s="6" t="s">
        <v>274</v>
      </c>
      <c r="L97" s="6"/>
    </row>
    <row r="98" customFormat="false" ht="15" hidden="false" customHeight="false" outlineLevel="0" collapsed="false">
      <c r="A98" s="6" t="s">
        <v>456</v>
      </c>
      <c r="B98" s="6" t="s">
        <v>457</v>
      </c>
      <c r="C98" s="6" t="s">
        <v>27</v>
      </c>
      <c r="D98" s="6" t="s">
        <v>458</v>
      </c>
      <c r="E98" s="6" t="s">
        <v>42</v>
      </c>
      <c r="F98" s="6" t="s">
        <v>459</v>
      </c>
      <c r="G98" s="6" t="n">
        <v>427</v>
      </c>
      <c r="H98" s="6" t="s">
        <v>31</v>
      </c>
      <c r="I98" s="6"/>
      <c r="J98" s="6" t="s">
        <v>460</v>
      </c>
      <c r="K98" s="6"/>
      <c r="L98" s="6"/>
    </row>
    <row r="99" customFormat="false" ht="15" hidden="false" customHeight="false" outlineLevel="0" collapsed="false">
      <c r="A99" s="6" t="s">
        <v>461</v>
      </c>
      <c r="B99" s="6" t="s">
        <v>462</v>
      </c>
      <c r="C99" s="6" t="s">
        <v>80</v>
      </c>
      <c r="D99" s="6" t="s">
        <v>463</v>
      </c>
      <c r="E99" s="6" t="s">
        <v>42</v>
      </c>
      <c r="F99" s="6" t="s">
        <v>459</v>
      </c>
      <c r="G99" s="6" t="n">
        <v>427</v>
      </c>
      <c r="H99" s="6" t="s">
        <v>31</v>
      </c>
      <c r="I99" s="6"/>
      <c r="J99" s="6" t="s">
        <v>464</v>
      </c>
      <c r="K99" s="6"/>
      <c r="L99" s="6"/>
    </row>
    <row r="100" customFormat="false" ht="26.85" hidden="false" customHeight="false" outlineLevel="0" collapsed="false">
      <c r="A100" s="6" t="s">
        <v>465</v>
      </c>
      <c r="B100" s="6" t="s">
        <v>466</v>
      </c>
      <c r="C100" s="6" t="s">
        <v>27</v>
      </c>
      <c r="D100" s="6" t="s">
        <v>467</v>
      </c>
      <c r="E100" s="6" t="s">
        <v>42</v>
      </c>
      <c r="F100" s="6" t="s">
        <v>459</v>
      </c>
      <c r="G100" s="6" t="n">
        <v>427</v>
      </c>
      <c r="H100" s="6" t="s">
        <v>31</v>
      </c>
      <c r="I100" s="6"/>
      <c r="J100" s="6" t="s">
        <v>468</v>
      </c>
      <c r="K100" s="6"/>
      <c r="L100" s="6"/>
    </row>
    <row r="101" customFormat="false" ht="26.85" hidden="false" customHeight="false" outlineLevel="0" collapsed="false">
      <c r="A101" s="6" t="s">
        <v>469</v>
      </c>
      <c r="B101" s="6" t="s">
        <v>466</v>
      </c>
      <c r="C101" s="6" t="s">
        <v>470</v>
      </c>
      <c r="D101" s="6" t="s">
        <v>471</v>
      </c>
      <c r="E101" s="6" t="s">
        <v>42</v>
      </c>
      <c r="F101" s="6" t="s">
        <v>30</v>
      </c>
      <c r="G101" s="6" t="n">
        <v>427</v>
      </c>
      <c r="H101" s="6" t="s">
        <v>31</v>
      </c>
      <c r="I101" s="6"/>
      <c r="J101" s="6" t="s">
        <v>472</v>
      </c>
      <c r="K101" s="6"/>
      <c r="L101" s="6"/>
    </row>
    <row r="102" customFormat="false" ht="26.85" hidden="false" customHeight="false" outlineLevel="0" collapsed="false">
      <c r="A102" s="6" t="s">
        <v>473</v>
      </c>
      <c r="B102" s="6" t="s">
        <v>474</v>
      </c>
      <c r="C102" s="6" t="s">
        <v>475</v>
      </c>
      <c r="D102" s="6" t="s">
        <v>476</v>
      </c>
      <c r="E102" s="6" t="s">
        <v>42</v>
      </c>
      <c r="F102" s="6" t="s">
        <v>459</v>
      </c>
      <c r="G102" s="6" t="n">
        <v>427</v>
      </c>
      <c r="H102" s="6" t="s">
        <v>31</v>
      </c>
      <c r="I102" s="6"/>
      <c r="J102" s="6" t="s">
        <v>477</v>
      </c>
      <c r="K102" s="6"/>
      <c r="L102" s="6"/>
    </row>
    <row r="103" customFormat="false" ht="26.85" hidden="false" customHeight="false" outlineLevel="0" collapsed="false">
      <c r="A103" s="7" t="s">
        <v>478</v>
      </c>
      <c r="B103" s="7" t="s">
        <v>474</v>
      </c>
      <c r="C103" s="7" t="s">
        <v>479</v>
      </c>
      <c r="D103" s="7" t="s">
        <v>480</v>
      </c>
      <c r="E103" s="7" t="s">
        <v>36</v>
      </c>
      <c r="F103" s="7" t="s">
        <v>459</v>
      </c>
      <c r="G103" s="7" t="n">
        <v>427</v>
      </c>
      <c r="H103" s="7" t="s">
        <v>58</v>
      </c>
      <c r="I103" s="7" t="s">
        <v>481</v>
      </c>
      <c r="J103" s="7"/>
      <c r="K103" s="7"/>
      <c r="L103" s="7"/>
    </row>
    <row r="104" customFormat="false" ht="26.85" hidden="false" customHeight="false" outlineLevel="0" collapsed="false">
      <c r="A104" s="6" t="s">
        <v>482</v>
      </c>
      <c r="B104" s="6" t="s">
        <v>474</v>
      </c>
      <c r="C104" s="6" t="s">
        <v>483</v>
      </c>
      <c r="D104" s="6" t="s">
        <v>484</v>
      </c>
      <c r="E104" s="6" t="s">
        <v>42</v>
      </c>
      <c r="F104" s="6" t="s">
        <v>459</v>
      </c>
      <c r="G104" s="6" t="n">
        <v>427</v>
      </c>
      <c r="H104" s="6" t="s">
        <v>31</v>
      </c>
      <c r="I104" s="6"/>
      <c r="J104" s="6" t="s">
        <v>485</v>
      </c>
      <c r="K104" s="6"/>
      <c r="L104" s="6"/>
    </row>
    <row r="105" customFormat="false" ht="15" hidden="false" customHeight="false" outlineLevel="0" collapsed="false">
      <c r="A105" s="6" t="s">
        <v>486</v>
      </c>
      <c r="B105" s="6" t="s">
        <v>487</v>
      </c>
      <c r="C105" s="6" t="s">
        <v>488</v>
      </c>
      <c r="D105" s="6" t="s">
        <v>489</v>
      </c>
      <c r="E105" s="6" t="s">
        <v>36</v>
      </c>
      <c r="F105" s="6" t="s">
        <v>30</v>
      </c>
      <c r="G105" s="6" t="n">
        <v>427</v>
      </c>
      <c r="H105" s="6" t="s">
        <v>31</v>
      </c>
      <c r="I105" s="6"/>
      <c r="J105" s="6" t="s">
        <v>490</v>
      </c>
      <c r="K105" s="6" t="s">
        <v>274</v>
      </c>
      <c r="L105" s="6"/>
    </row>
    <row r="106" customFormat="false" ht="26.85" hidden="false" customHeight="false" outlineLevel="0" collapsed="false">
      <c r="A106" s="6" t="s">
        <v>491</v>
      </c>
      <c r="B106" s="6" t="s">
        <v>487</v>
      </c>
      <c r="C106" s="6" t="s">
        <v>105</v>
      </c>
      <c r="D106" s="6" t="s">
        <v>492</v>
      </c>
      <c r="E106" s="6" t="s">
        <v>36</v>
      </c>
      <c r="F106" s="6" t="s">
        <v>30</v>
      </c>
      <c r="G106" s="6" t="n">
        <v>427</v>
      </c>
      <c r="H106" s="6" t="s">
        <v>31</v>
      </c>
      <c r="I106" s="6"/>
      <c r="J106" s="6" t="s">
        <v>493</v>
      </c>
      <c r="K106" s="6"/>
      <c r="L106" s="6"/>
    </row>
    <row r="107" customFormat="false" ht="26.85" hidden="false" customHeight="false" outlineLevel="0" collapsed="false">
      <c r="A107" s="6" t="s">
        <v>494</v>
      </c>
      <c r="B107" s="6" t="s">
        <v>487</v>
      </c>
      <c r="C107" s="6" t="s">
        <v>495</v>
      </c>
      <c r="D107" s="6" t="s">
        <v>496</v>
      </c>
      <c r="E107" s="6" t="s">
        <v>42</v>
      </c>
      <c r="F107" s="6" t="s">
        <v>30</v>
      </c>
      <c r="G107" s="6" t="n">
        <v>427</v>
      </c>
      <c r="H107" s="6" t="s">
        <v>31</v>
      </c>
      <c r="I107" s="6"/>
      <c r="J107" s="6" t="s">
        <v>497</v>
      </c>
      <c r="K107" s="6"/>
      <c r="L107" s="6"/>
    </row>
    <row r="108" customFormat="false" ht="26.85" hidden="false" customHeight="false" outlineLevel="0" collapsed="false">
      <c r="A108" s="6" t="s">
        <v>498</v>
      </c>
      <c r="B108" s="6" t="s">
        <v>499</v>
      </c>
      <c r="C108" s="6" t="s">
        <v>500</v>
      </c>
      <c r="D108" s="6" t="s">
        <v>501</v>
      </c>
      <c r="E108" s="6" t="s">
        <v>42</v>
      </c>
      <c r="F108" s="6" t="s">
        <v>30</v>
      </c>
      <c r="G108" s="6" t="n">
        <v>427</v>
      </c>
      <c r="H108" s="6" t="s">
        <v>31</v>
      </c>
      <c r="I108" s="6"/>
      <c r="J108" s="6" t="s">
        <v>502</v>
      </c>
      <c r="K108" s="6"/>
      <c r="L108" s="6"/>
    </row>
    <row r="109" customFormat="false" ht="26.85" hidden="false" customHeight="false" outlineLevel="0" collapsed="false">
      <c r="A109" s="8" t="s">
        <v>503</v>
      </c>
      <c r="B109" s="8" t="s">
        <v>504</v>
      </c>
      <c r="C109" s="8" t="s">
        <v>313</v>
      </c>
      <c r="D109" s="8" t="s">
        <v>314</v>
      </c>
      <c r="E109" s="8" t="s">
        <v>29</v>
      </c>
      <c r="F109" s="8" t="s">
        <v>75</v>
      </c>
      <c r="G109" s="8" t="n">
        <v>427</v>
      </c>
      <c r="H109" s="8" t="s">
        <v>76</v>
      </c>
      <c r="I109" s="8" t="s">
        <v>505</v>
      </c>
      <c r="J109" s="8"/>
      <c r="K109" s="8"/>
      <c r="L109" s="8"/>
    </row>
    <row r="110" customFormat="false" ht="15" hidden="false" customHeight="false" outlineLevel="0" collapsed="false">
      <c r="A110" s="8" t="s">
        <v>506</v>
      </c>
      <c r="B110" s="8" t="s">
        <v>504</v>
      </c>
      <c r="C110" s="8" t="s">
        <v>313</v>
      </c>
      <c r="D110" s="8" t="s">
        <v>507</v>
      </c>
      <c r="E110" s="8" t="s">
        <v>29</v>
      </c>
      <c r="F110" s="8" t="s">
        <v>75</v>
      </c>
      <c r="G110" s="8" t="n">
        <v>427</v>
      </c>
      <c r="H110" s="8" t="s">
        <v>76</v>
      </c>
      <c r="I110" s="8" t="s">
        <v>508</v>
      </c>
      <c r="J110" s="8"/>
      <c r="K110" s="8"/>
      <c r="L110" s="8"/>
    </row>
    <row r="111" customFormat="false" ht="15" hidden="false" customHeight="false" outlineLevel="0" collapsed="false">
      <c r="A111" s="8" t="s">
        <v>509</v>
      </c>
      <c r="B111" s="8" t="s">
        <v>504</v>
      </c>
      <c r="C111" s="8" t="s">
        <v>313</v>
      </c>
      <c r="D111" s="8" t="s">
        <v>507</v>
      </c>
      <c r="E111" s="8" t="s">
        <v>29</v>
      </c>
      <c r="F111" s="8" t="s">
        <v>75</v>
      </c>
      <c r="G111" s="8" t="n">
        <v>427</v>
      </c>
      <c r="H111" s="8" t="s">
        <v>76</v>
      </c>
      <c r="I111" s="8" t="s">
        <v>508</v>
      </c>
      <c r="J111" s="8"/>
      <c r="K111" s="8"/>
      <c r="L111" s="8"/>
    </row>
    <row r="112" customFormat="false" ht="15" hidden="false" customHeight="false" outlineLevel="0" collapsed="false">
      <c r="A112" s="8" t="s">
        <v>510</v>
      </c>
      <c r="B112" s="8" t="s">
        <v>504</v>
      </c>
      <c r="C112" s="8" t="s">
        <v>313</v>
      </c>
      <c r="D112" s="8" t="s">
        <v>511</v>
      </c>
      <c r="E112" s="8" t="s">
        <v>29</v>
      </c>
      <c r="F112" s="8" t="s">
        <v>75</v>
      </c>
      <c r="G112" s="8" t="n">
        <v>427</v>
      </c>
      <c r="H112" s="8" t="s">
        <v>76</v>
      </c>
      <c r="I112" s="8" t="s">
        <v>508</v>
      </c>
      <c r="J112" s="8"/>
      <c r="K112" s="8"/>
      <c r="L112" s="8"/>
    </row>
    <row r="113" customFormat="false" ht="15" hidden="false" customHeight="false" outlineLevel="0" collapsed="false">
      <c r="A113" s="8" t="s">
        <v>512</v>
      </c>
      <c r="B113" s="8" t="s">
        <v>504</v>
      </c>
      <c r="C113" s="8" t="s">
        <v>313</v>
      </c>
      <c r="D113" s="8" t="s">
        <v>314</v>
      </c>
      <c r="E113" s="8" t="s">
        <v>29</v>
      </c>
      <c r="F113" s="8" t="s">
        <v>75</v>
      </c>
      <c r="G113" s="8" t="n">
        <v>427</v>
      </c>
      <c r="H113" s="8" t="s">
        <v>76</v>
      </c>
      <c r="I113" s="8" t="s">
        <v>513</v>
      </c>
      <c r="J113" s="8"/>
      <c r="K113" s="8"/>
      <c r="L113" s="8"/>
    </row>
    <row r="114" customFormat="false" ht="26.85" hidden="false" customHeight="false" outlineLevel="0" collapsed="false">
      <c r="A114" s="6" t="s">
        <v>514</v>
      </c>
      <c r="B114" s="6" t="s">
        <v>515</v>
      </c>
      <c r="C114" s="6" t="s">
        <v>516</v>
      </c>
      <c r="D114" s="6" t="s">
        <v>517</v>
      </c>
      <c r="E114" s="6" t="s">
        <v>42</v>
      </c>
      <c r="F114" s="6" t="s">
        <v>30</v>
      </c>
      <c r="G114" s="6" t="n">
        <v>427</v>
      </c>
      <c r="H114" s="6" t="s">
        <v>31</v>
      </c>
      <c r="I114" s="6"/>
      <c r="J114" s="6" t="s">
        <v>518</v>
      </c>
      <c r="K114" s="6"/>
      <c r="L114" s="6"/>
    </row>
    <row r="115" customFormat="false" ht="15" hidden="false" customHeight="false" outlineLevel="0" collapsed="false">
      <c r="A115" s="6" t="s">
        <v>519</v>
      </c>
      <c r="B115" s="6" t="s">
        <v>515</v>
      </c>
      <c r="C115" s="6" t="s">
        <v>520</v>
      </c>
      <c r="D115" s="6" t="s">
        <v>70</v>
      </c>
      <c r="E115" s="6" t="s">
        <v>42</v>
      </c>
      <c r="F115" s="6" t="s">
        <v>30</v>
      </c>
      <c r="G115" s="6" t="n">
        <v>427</v>
      </c>
      <c r="H115" s="6" t="s">
        <v>31</v>
      </c>
      <c r="I115" s="6"/>
      <c r="J115" s="6" t="s">
        <v>521</v>
      </c>
      <c r="K115" s="6"/>
      <c r="L115" s="6"/>
    </row>
    <row r="116" customFormat="false" ht="15" hidden="false" customHeight="false" outlineLevel="0" collapsed="false">
      <c r="A116" s="6" t="s">
        <v>522</v>
      </c>
      <c r="B116" s="6" t="s">
        <v>515</v>
      </c>
      <c r="C116" s="6" t="s">
        <v>523</v>
      </c>
      <c r="D116" s="6" t="s">
        <v>524</v>
      </c>
      <c r="E116" s="6" t="s">
        <v>131</v>
      </c>
      <c r="F116" s="6" t="s">
        <v>30</v>
      </c>
      <c r="G116" s="6" t="n">
        <v>427</v>
      </c>
      <c r="H116" s="6" t="s">
        <v>31</v>
      </c>
      <c r="I116" s="6"/>
      <c r="J116" s="6" t="s">
        <v>525</v>
      </c>
      <c r="K116" s="6"/>
      <c r="L116" s="6"/>
    </row>
    <row r="117" customFormat="false" ht="15" hidden="false" customHeight="false" outlineLevel="0" collapsed="false">
      <c r="A117" s="6" t="s">
        <v>526</v>
      </c>
      <c r="B117" s="6" t="s">
        <v>527</v>
      </c>
      <c r="C117" s="6" t="s">
        <v>528</v>
      </c>
      <c r="D117" s="6" t="s">
        <v>529</v>
      </c>
      <c r="E117" s="6" t="s">
        <v>36</v>
      </c>
      <c r="F117" s="6" t="s">
        <v>30</v>
      </c>
      <c r="G117" s="6" t="n">
        <v>427</v>
      </c>
      <c r="H117" s="6" t="s">
        <v>31</v>
      </c>
      <c r="I117" s="6"/>
      <c r="J117" s="6" t="s">
        <v>530</v>
      </c>
      <c r="K117" s="6"/>
      <c r="L117" s="6"/>
    </row>
    <row r="118" customFormat="false" ht="26.85" hidden="false" customHeight="false" outlineLevel="0" collapsed="false">
      <c r="A118" s="8" t="s">
        <v>531</v>
      </c>
      <c r="B118" s="8" t="s">
        <v>527</v>
      </c>
      <c r="C118" s="8" t="s">
        <v>532</v>
      </c>
      <c r="D118" s="8" t="s">
        <v>314</v>
      </c>
      <c r="E118" s="8" t="s">
        <v>36</v>
      </c>
      <c r="F118" s="8" t="s">
        <v>75</v>
      </c>
      <c r="G118" s="8" t="n">
        <v>427</v>
      </c>
      <c r="H118" s="8" t="s">
        <v>76</v>
      </c>
      <c r="I118" s="8" t="s">
        <v>533</v>
      </c>
      <c r="J118" s="8"/>
      <c r="K118" s="8"/>
      <c r="L118" s="8"/>
    </row>
    <row r="119" customFormat="false" ht="15" hidden="false" customHeight="false" outlineLevel="0" collapsed="false">
      <c r="A119" s="6" t="s">
        <v>534</v>
      </c>
      <c r="B119" s="6" t="s">
        <v>527</v>
      </c>
      <c r="C119" s="6" t="s">
        <v>495</v>
      </c>
      <c r="D119" s="6" t="s">
        <v>535</v>
      </c>
      <c r="E119" s="6" t="s">
        <v>42</v>
      </c>
      <c r="F119" s="6" t="s">
        <v>30</v>
      </c>
      <c r="G119" s="6" t="n">
        <v>427</v>
      </c>
      <c r="H119" s="6" t="s">
        <v>31</v>
      </c>
      <c r="I119" s="6"/>
      <c r="J119" s="6" t="s">
        <v>536</v>
      </c>
      <c r="K119" s="6"/>
      <c r="L119" s="6"/>
    </row>
    <row r="120" customFormat="false" ht="26.85" hidden="false" customHeight="false" outlineLevel="0" collapsed="false">
      <c r="A120" s="6" t="s">
        <v>537</v>
      </c>
      <c r="B120" s="6" t="s">
        <v>538</v>
      </c>
      <c r="C120" s="6" t="s">
        <v>539</v>
      </c>
      <c r="D120" s="6" t="s">
        <v>540</v>
      </c>
      <c r="E120" s="6" t="s">
        <v>29</v>
      </c>
      <c r="F120" s="6" t="s">
        <v>30</v>
      </c>
      <c r="G120" s="6" t="n">
        <v>427</v>
      </c>
      <c r="H120" s="6" t="s">
        <v>31</v>
      </c>
      <c r="I120" s="6"/>
      <c r="J120" s="6" t="s">
        <v>541</v>
      </c>
      <c r="K120" s="6"/>
      <c r="L120" s="6"/>
    </row>
    <row r="121" customFormat="false" ht="15" hidden="false" customHeight="false" outlineLevel="0" collapsed="false">
      <c r="A121" s="7" t="s">
        <v>542</v>
      </c>
      <c r="B121" s="7" t="s">
        <v>543</v>
      </c>
      <c r="C121" s="7" t="s">
        <v>500</v>
      </c>
      <c r="D121" s="7" t="s">
        <v>323</v>
      </c>
      <c r="E121" s="7" t="s">
        <v>36</v>
      </c>
      <c r="F121" s="7" t="s">
        <v>75</v>
      </c>
      <c r="G121" s="7" t="n">
        <v>427</v>
      </c>
      <c r="H121" s="7" t="s">
        <v>58</v>
      </c>
      <c r="I121" s="7" t="s">
        <v>544</v>
      </c>
      <c r="J121" s="7"/>
      <c r="K121" s="7"/>
      <c r="L121" s="7"/>
    </row>
    <row r="122" customFormat="false" ht="26.85" hidden="false" customHeight="false" outlineLevel="0" collapsed="false">
      <c r="A122" s="7" t="s">
        <v>545</v>
      </c>
      <c r="B122" s="7" t="s">
        <v>546</v>
      </c>
      <c r="C122" s="7" t="s">
        <v>547</v>
      </c>
      <c r="D122" s="7" t="s">
        <v>548</v>
      </c>
      <c r="E122" s="7" t="s">
        <v>131</v>
      </c>
      <c r="F122" s="7" t="s">
        <v>30</v>
      </c>
      <c r="G122" s="7" t="n">
        <v>427</v>
      </c>
      <c r="H122" s="7" t="s">
        <v>58</v>
      </c>
      <c r="I122" s="7" t="s">
        <v>549</v>
      </c>
      <c r="J122" s="7"/>
      <c r="K122" s="7"/>
      <c r="L122" s="7"/>
    </row>
    <row r="123" customFormat="false" ht="26.85" hidden="false" customHeight="false" outlineLevel="0" collapsed="false">
      <c r="A123" s="7" t="s">
        <v>550</v>
      </c>
      <c r="B123" s="7" t="s">
        <v>551</v>
      </c>
      <c r="C123" s="7" t="s">
        <v>552</v>
      </c>
      <c r="D123" s="7" t="s">
        <v>553</v>
      </c>
      <c r="E123" s="7" t="s">
        <v>36</v>
      </c>
      <c r="F123" s="7" t="s">
        <v>75</v>
      </c>
      <c r="G123" s="7" t="n">
        <v>427</v>
      </c>
      <c r="H123" s="7" t="s">
        <v>58</v>
      </c>
      <c r="I123" s="7" t="s">
        <v>554</v>
      </c>
      <c r="J123" s="7"/>
      <c r="K123" s="7"/>
      <c r="L123" s="7"/>
    </row>
    <row r="124" customFormat="false" ht="15" hidden="false" customHeight="false" outlineLevel="0" collapsed="false">
      <c r="A124" s="8" t="s">
        <v>555</v>
      </c>
      <c r="B124" s="8" t="s">
        <v>556</v>
      </c>
      <c r="C124" s="8" t="s">
        <v>313</v>
      </c>
      <c r="D124" s="8" t="s">
        <v>314</v>
      </c>
      <c r="E124" s="8" t="s">
        <v>29</v>
      </c>
      <c r="F124" s="8" t="s">
        <v>75</v>
      </c>
      <c r="G124" s="8" t="n">
        <v>427</v>
      </c>
      <c r="H124" s="8" t="s">
        <v>76</v>
      </c>
      <c r="I124" s="8" t="s">
        <v>513</v>
      </c>
      <c r="J124" s="8"/>
      <c r="K124" s="8"/>
      <c r="L124" s="8"/>
    </row>
    <row r="125" customFormat="false" ht="15" hidden="false" customHeight="false" outlineLevel="0" collapsed="false">
      <c r="A125" s="7" t="s">
        <v>557</v>
      </c>
      <c r="B125" s="7" t="s">
        <v>558</v>
      </c>
      <c r="C125" s="7" t="s">
        <v>559</v>
      </c>
      <c r="D125" s="7" t="s">
        <v>560</v>
      </c>
      <c r="E125" s="7" t="s">
        <v>36</v>
      </c>
      <c r="F125" s="7" t="s">
        <v>75</v>
      </c>
      <c r="G125" s="7" t="n">
        <v>427</v>
      </c>
      <c r="H125" s="7" t="s">
        <v>58</v>
      </c>
      <c r="I125" s="7" t="s">
        <v>561</v>
      </c>
      <c r="J125" s="7"/>
      <c r="K125" s="7"/>
      <c r="L125" s="7"/>
    </row>
    <row r="126" customFormat="false" ht="15" hidden="false" customHeight="false" outlineLevel="0" collapsed="false">
      <c r="A126" s="8" t="s">
        <v>562</v>
      </c>
      <c r="B126" s="8" t="s">
        <v>563</v>
      </c>
      <c r="C126" s="8" t="s">
        <v>313</v>
      </c>
      <c r="D126" s="8" t="s">
        <v>314</v>
      </c>
      <c r="E126" s="8" t="s">
        <v>29</v>
      </c>
      <c r="F126" s="8" t="s">
        <v>75</v>
      </c>
      <c r="G126" s="8" t="n">
        <v>427</v>
      </c>
      <c r="H126" s="8" t="s">
        <v>76</v>
      </c>
      <c r="I126" s="8" t="s">
        <v>564</v>
      </c>
      <c r="J126" s="8"/>
      <c r="K126" s="8"/>
      <c r="L126" s="8"/>
    </row>
    <row r="127" customFormat="false" ht="15" hidden="false" customHeight="false" outlineLevel="0" collapsed="false">
      <c r="A127" s="8" t="s">
        <v>565</v>
      </c>
      <c r="B127" s="8" t="s">
        <v>563</v>
      </c>
      <c r="C127" s="8" t="s">
        <v>313</v>
      </c>
      <c r="D127" s="8" t="s">
        <v>314</v>
      </c>
      <c r="E127" s="8" t="s">
        <v>29</v>
      </c>
      <c r="F127" s="8" t="s">
        <v>75</v>
      </c>
      <c r="G127" s="8" t="n">
        <v>427</v>
      </c>
      <c r="H127" s="8" t="s">
        <v>76</v>
      </c>
      <c r="I127" s="8" t="s">
        <v>564</v>
      </c>
      <c r="J127" s="8"/>
      <c r="K127" s="8"/>
      <c r="L127" s="8"/>
    </row>
    <row r="128" customFormat="false" ht="15" hidden="false" customHeight="false" outlineLevel="0" collapsed="false">
      <c r="A128" s="8" t="s">
        <v>566</v>
      </c>
      <c r="B128" s="8" t="s">
        <v>563</v>
      </c>
      <c r="C128" s="8" t="s">
        <v>313</v>
      </c>
      <c r="D128" s="8" t="s">
        <v>314</v>
      </c>
      <c r="E128" s="8" t="s">
        <v>29</v>
      </c>
      <c r="F128" s="8" t="s">
        <v>75</v>
      </c>
      <c r="G128" s="8" t="n">
        <v>427</v>
      </c>
      <c r="H128" s="8" t="s">
        <v>76</v>
      </c>
      <c r="I128" s="8" t="s">
        <v>564</v>
      </c>
      <c r="J128" s="8"/>
      <c r="K128" s="8"/>
      <c r="L128" s="8"/>
    </row>
    <row r="129" customFormat="false" ht="15" hidden="false" customHeight="false" outlineLevel="0" collapsed="false">
      <c r="A129" s="8" t="s">
        <v>567</v>
      </c>
      <c r="B129" s="8" t="s">
        <v>563</v>
      </c>
      <c r="C129" s="8" t="s">
        <v>313</v>
      </c>
      <c r="D129" s="8" t="s">
        <v>314</v>
      </c>
      <c r="E129" s="8" t="s">
        <v>29</v>
      </c>
      <c r="F129" s="8" t="s">
        <v>75</v>
      </c>
      <c r="G129" s="8" t="n">
        <v>427</v>
      </c>
      <c r="H129" s="8" t="s">
        <v>76</v>
      </c>
      <c r="I129" s="8" t="s">
        <v>564</v>
      </c>
      <c r="J129" s="8"/>
      <c r="K129" s="8"/>
      <c r="L129" s="8"/>
    </row>
    <row r="130" customFormat="false" ht="15" hidden="false" customHeight="false" outlineLevel="0" collapsed="false">
      <c r="A130" s="8" t="s">
        <v>568</v>
      </c>
      <c r="B130" s="8" t="s">
        <v>563</v>
      </c>
      <c r="C130" s="8" t="s">
        <v>313</v>
      </c>
      <c r="D130" s="8" t="s">
        <v>314</v>
      </c>
      <c r="E130" s="8" t="s">
        <v>29</v>
      </c>
      <c r="F130" s="8" t="s">
        <v>75</v>
      </c>
      <c r="G130" s="8" t="n">
        <v>428</v>
      </c>
      <c r="H130" s="8" t="s">
        <v>76</v>
      </c>
      <c r="I130" s="8" t="s">
        <v>564</v>
      </c>
      <c r="J130" s="8"/>
      <c r="K130" s="8"/>
      <c r="L130" s="8"/>
    </row>
    <row r="131" customFormat="false" ht="15" hidden="false" customHeight="false" outlineLevel="0" collapsed="false">
      <c r="A131" s="8" t="s">
        <v>569</v>
      </c>
      <c r="B131" s="8" t="s">
        <v>504</v>
      </c>
      <c r="C131" s="8" t="s">
        <v>313</v>
      </c>
      <c r="D131" s="8" t="s">
        <v>314</v>
      </c>
      <c r="E131" s="8" t="s">
        <v>29</v>
      </c>
      <c r="F131" s="8" t="s">
        <v>75</v>
      </c>
      <c r="G131" s="8" t="n">
        <v>428</v>
      </c>
      <c r="H131" s="8" t="s">
        <v>76</v>
      </c>
      <c r="I131" s="8" t="s">
        <v>564</v>
      </c>
      <c r="J131" s="8"/>
      <c r="K131" s="8"/>
      <c r="L131" s="8"/>
    </row>
    <row r="132" customFormat="false" ht="15" hidden="false" customHeight="false" outlineLevel="0" collapsed="false">
      <c r="A132" s="8" t="s">
        <v>570</v>
      </c>
      <c r="B132" s="8" t="s">
        <v>504</v>
      </c>
      <c r="C132" s="8" t="s">
        <v>313</v>
      </c>
      <c r="D132" s="8" t="s">
        <v>314</v>
      </c>
      <c r="E132" s="8" t="s">
        <v>29</v>
      </c>
      <c r="F132" s="8" t="s">
        <v>75</v>
      </c>
      <c r="G132" s="8" t="n">
        <v>428</v>
      </c>
      <c r="H132" s="8" t="s">
        <v>76</v>
      </c>
      <c r="I132" s="8" t="s">
        <v>564</v>
      </c>
      <c r="J132" s="8"/>
      <c r="K132" s="8"/>
      <c r="L132" s="8"/>
    </row>
    <row r="133" customFormat="false" ht="15" hidden="false" customHeight="false" outlineLevel="0" collapsed="false">
      <c r="A133" s="7" t="s">
        <v>571</v>
      </c>
      <c r="B133" s="7" t="s">
        <v>558</v>
      </c>
      <c r="C133" s="7" t="s">
        <v>239</v>
      </c>
      <c r="D133" s="7" t="s">
        <v>572</v>
      </c>
      <c r="E133" s="7" t="s">
        <v>29</v>
      </c>
      <c r="F133" s="7" t="s">
        <v>75</v>
      </c>
      <c r="G133" s="7" t="n">
        <v>428</v>
      </c>
      <c r="H133" s="7" t="s">
        <v>58</v>
      </c>
      <c r="I133" s="7" t="s">
        <v>544</v>
      </c>
      <c r="J133" s="7"/>
      <c r="K133" s="7"/>
      <c r="L133" s="7"/>
    </row>
    <row r="134" customFormat="false" ht="26.85" hidden="false" customHeight="false" outlineLevel="0" collapsed="false">
      <c r="A134" s="6" t="s">
        <v>573</v>
      </c>
      <c r="B134" s="6" t="s">
        <v>574</v>
      </c>
      <c r="C134" s="6" t="s">
        <v>440</v>
      </c>
      <c r="D134" s="6" t="s">
        <v>575</v>
      </c>
      <c r="E134" s="6" t="s">
        <v>36</v>
      </c>
      <c r="F134" s="6" t="s">
        <v>30</v>
      </c>
      <c r="G134" s="6" t="n">
        <v>428</v>
      </c>
      <c r="H134" s="6" t="s">
        <v>31</v>
      </c>
      <c r="I134" s="6"/>
      <c r="J134" s="6" t="s">
        <v>576</v>
      </c>
      <c r="K134" s="6" t="s">
        <v>443</v>
      </c>
      <c r="L134" s="6"/>
    </row>
    <row r="135" customFormat="false" ht="26.85" hidden="false" customHeight="false" outlineLevel="0" collapsed="false">
      <c r="A135" s="6" t="s">
        <v>577</v>
      </c>
      <c r="B135" s="6" t="s">
        <v>578</v>
      </c>
      <c r="C135" s="6" t="s">
        <v>85</v>
      </c>
      <c r="D135" s="6" t="s">
        <v>579</v>
      </c>
      <c r="E135" s="6" t="s">
        <v>29</v>
      </c>
      <c r="F135" s="6" t="s">
        <v>30</v>
      </c>
      <c r="G135" s="6" t="n">
        <v>428</v>
      </c>
      <c r="H135" s="6" t="s">
        <v>31</v>
      </c>
      <c r="I135" s="6"/>
      <c r="J135" s="6" t="s">
        <v>580</v>
      </c>
      <c r="K135" s="6"/>
      <c r="L135" s="6"/>
    </row>
    <row r="136" customFormat="false" ht="15" hidden="false" customHeight="false" outlineLevel="0" collapsed="false">
      <c r="A136" s="6" t="s">
        <v>581</v>
      </c>
      <c r="B136" s="6" t="s">
        <v>582</v>
      </c>
      <c r="C136" s="6" t="s">
        <v>583</v>
      </c>
      <c r="D136" s="6" t="s">
        <v>584</v>
      </c>
      <c r="E136" s="6" t="s">
        <v>36</v>
      </c>
      <c r="F136" s="6" t="s">
        <v>30</v>
      </c>
      <c r="G136" s="6" t="n">
        <v>428</v>
      </c>
      <c r="H136" s="6" t="s">
        <v>31</v>
      </c>
      <c r="I136" s="6"/>
      <c r="J136" s="6" t="s">
        <v>585</v>
      </c>
      <c r="K136" s="6"/>
      <c r="L136" s="6"/>
    </row>
    <row r="137" customFormat="false" ht="15" hidden="false" customHeight="false" outlineLevel="0" collapsed="false">
      <c r="A137" s="7" t="s">
        <v>586</v>
      </c>
      <c r="B137" s="7" t="s">
        <v>587</v>
      </c>
      <c r="C137" s="7" t="s">
        <v>588</v>
      </c>
      <c r="D137" s="7" t="s">
        <v>589</v>
      </c>
      <c r="E137" s="7" t="s">
        <v>29</v>
      </c>
      <c r="F137" s="7" t="s">
        <v>75</v>
      </c>
      <c r="G137" s="7" t="n">
        <v>428</v>
      </c>
      <c r="H137" s="7" t="s">
        <v>58</v>
      </c>
      <c r="I137" s="7" t="s">
        <v>590</v>
      </c>
      <c r="J137" s="7"/>
      <c r="K137" s="7"/>
      <c r="L137" s="7"/>
    </row>
    <row r="138" customFormat="false" ht="15" hidden="false" customHeight="false" outlineLevel="0" collapsed="false">
      <c r="A138" s="6" t="s">
        <v>591</v>
      </c>
      <c r="B138" s="6" t="s">
        <v>592</v>
      </c>
      <c r="C138" s="6" t="s">
        <v>593</v>
      </c>
      <c r="D138" s="6" t="s">
        <v>170</v>
      </c>
      <c r="E138" s="6" t="s">
        <v>42</v>
      </c>
      <c r="F138" s="6" t="s">
        <v>30</v>
      </c>
      <c r="G138" s="6" t="n">
        <v>428</v>
      </c>
      <c r="H138" s="6" t="s">
        <v>31</v>
      </c>
      <c r="I138" s="6"/>
      <c r="J138" s="6" t="s">
        <v>594</v>
      </c>
      <c r="K138" s="6"/>
      <c r="L138" s="6"/>
    </row>
    <row r="139" customFormat="false" ht="26.85" hidden="false" customHeight="false" outlineLevel="0" collapsed="false">
      <c r="A139" s="6" t="s">
        <v>595</v>
      </c>
      <c r="B139" s="6" t="s">
        <v>592</v>
      </c>
      <c r="C139" s="6" t="s">
        <v>420</v>
      </c>
      <c r="D139" s="6" t="s">
        <v>596</v>
      </c>
      <c r="E139" s="6" t="s">
        <v>42</v>
      </c>
      <c r="F139" s="6" t="s">
        <v>30</v>
      </c>
      <c r="G139" s="6" t="n">
        <v>428</v>
      </c>
      <c r="H139" s="6" t="s">
        <v>31</v>
      </c>
      <c r="I139" s="6"/>
      <c r="J139" s="6" t="s">
        <v>597</v>
      </c>
      <c r="K139" s="6"/>
      <c r="L139" s="6"/>
    </row>
    <row r="140" customFormat="false" ht="15" hidden="false" customHeight="false" outlineLevel="0" collapsed="false">
      <c r="A140" s="6" t="s">
        <v>598</v>
      </c>
      <c r="B140" s="6" t="s">
        <v>582</v>
      </c>
      <c r="C140" s="6" t="s">
        <v>559</v>
      </c>
      <c r="D140" s="6" t="s">
        <v>599</v>
      </c>
      <c r="E140" s="6" t="s">
        <v>36</v>
      </c>
      <c r="F140" s="6" t="s">
        <v>30</v>
      </c>
      <c r="G140" s="6" t="n">
        <v>428</v>
      </c>
      <c r="H140" s="6" t="s">
        <v>31</v>
      </c>
      <c r="I140" s="6"/>
      <c r="J140" s="6" t="s">
        <v>600</v>
      </c>
      <c r="K140" s="6" t="s">
        <v>274</v>
      </c>
      <c r="L140" s="6"/>
    </row>
    <row r="141" customFormat="false" ht="26.85" hidden="false" customHeight="false" outlineLevel="0" collapsed="false">
      <c r="A141" s="6" t="s">
        <v>601</v>
      </c>
      <c r="B141" s="6" t="s">
        <v>582</v>
      </c>
      <c r="C141" s="6" t="s">
        <v>27</v>
      </c>
      <c r="D141" s="6" t="s">
        <v>602</v>
      </c>
      <c r="E141" s="6" t="s">
        <v>42</v>
      </c>
      <c r="F141" s="6" t="s">
        <v>30</v>
      </c>
      <c r="G141" s="6" t="n">
        <v>428</v>
      </c>
      <c r="H141" s="6" t="s">
        <v>31</v>
      </c>
      <c r="I141" s="6"/>
      <c r="J141" s="6" t="s">
        <v>603</v>
      </c>
      <c r="K141" s="6"/>
      <c r="L141" s="6"/>
    </row>
    <row r="142" customFormat="false" ht="26.85" hidden="false" customHeight="false" outlineLevel="0" collapsed="false">
      <c r="A142" s="6" t="s">
        <v>604</v>
      </c>
      <c r="B142" s="6" t="s">
        <v>605</v>
      </c>
      <c r="C142" s="6" t="s">
        <v>27</v>
      </c>
      <c r="D142" s="6" t="s">
        <v>606</v>
      </c>
      <c r="E142" s="6" t="s">
        <v>42</v>
      </c>
      <c r="F142" s="6" t="s">
        <v>30</v>
      </c>
      <c r="G142" s="6" t="n">
        <v>428</v>
      </c>
      <c r="H142" s="6" t="s">
        <v>31</v>
      </c>
      <c r="I142" s="6"/>
      <c r="J142" s="6" t="s">
        <v>607</v>
      </c>
      <c r="K142" s="6"/>
      <c r="L142" s="6"/>
    </row>
    <row r="143" customFormat="false" ht="26.85" hidden="false" customHeight="false" outlineLevel="0" collapsed="false">
      <c r="A143" s="6" t="s">
        <v>608</v>
      </c>
      <c r="B143" s="6" t="s">
        <v>609</v>
      </c>
      <c r="C143" s="6" t="s">
        <v>610</v>
      </c>
      <c r="D143" s="6" t="s">
        <v>611</v>
      </c>
      <c r="E143" s="6" t="s">
        <v>42</v>
      </c>
      <c r="F143" s="6" t="s">
        <v>30</v>
      </c>
      <c r="G143" s="6" t="n">
        <v>428</v>
      </c>
      <c r="H143" s="6" t="s">
        <v>31</v>
      </c>
      <c r="I143" s="6"/>
      <c r="J143" s="6" t="s">
        <v>612</v>
      </c>
      <c r="K143" s="6"/>
      <c r="L143" s="6"/>
    </row>
    <row r="144" customFormat="false" ht="26.85" hidden="false" customHeight="false" outlineLevel="0" collapsed="false">
      <c r="A144" s="6" t="s">
        <v>613</v>
      </c>
      <c r="B144" s="6" t="s">
        <v>609</v>
      </c>
      <c r="C144" s="6" t="s">
        <v>614</v>
      </c>
      <c r="D144" s="6" t="s">
        <v>615</v>
      </c>
      <c r="E144" s="6" t="s">
        <v>42</v>
      </c>
      <c r="F144" s="6" t="s">
        <v>30</v>
      </c>
      <c r="G144" s="6" t="n">
        <v>428</v>
      </c>
      <c r="H144" s="6" t="s">
        <v>31</v>
      </c>
      <c r="I144" s="6"/>
      <c r="J144" s="6" t="s">
        <v>616</v>
      </c>
      <c r="K144" s="6"/>
      <c r="L144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5" t="s">
        <v>13</v>
      </c>
      <c r="B1" s="5" t="s">
        <v>617</v>
      </c>
      <c r="C1" s="5" t="s">
        <v>618</v>
      </c>
      <c r="D1" s="5" t="s">
        <v>619</v>
      </c>
      <c r="E1" s="5" t="s">
        <v>620</v>
      </c>
    </row>
    <row r="2" customFormat="false" ht="15" hidden="false" customHeight="false" outlineLevel="0" collapsed="false">
      <c r="A2" s="6" t="s">
        <v>621</v>
      </c>
      <c r="B2" s="6" t="s">
        <v>622</v>
      </c>
      <c r="C2" s="6" t="s">
        <v>623</v>
      </c>
      <c r="D2" s="6" t="s">
        <v>624</v>
      </c>
      <c r="E2" s="6" t="s">
        <v>625</v>
      </c>
    </row>
    <row r="3" customFormat="false" ht="15" hidden="false" customHeight="false" outlineLevel="0" collapsed="false">
      <c r="A3" s="6" t="s">
        <v>626</v>
      </c>
      <c r="B3" s="6" t="s">
        <v>627</v>
      </c>
      <c r="C3" s="6" t="s">
        <v>623</v>
      </c>
      <c r="D3" s="6" t="s">
        <v>628</v>
      </c>
      <c r="E3" s="6" t="s">
        <v>629</v>
      </c>
    </row>
    <row r="4" customFormat="false" ht="15" hidden="false" customHeight="false" outlineLevel="0" collapsed="false">
      <c r="A4" s="6" t="s">
        <v>630</v>
      </c>
      <c r="B4" s="6" t="s">
        <v>631</v>
      </c>
      <c r="C4" s="6" t="s">
        <v>623</v>
      </c>
      <c r="D4" s="6" t="s">
        <v>632</v>
      </c>
      <c r="E4" s="6" t="s">
        <v>633</v>
      </c>
    </row>
    <row r="5" customFormat="false" ht="15" hidden="false" customHeight="false" outlineLevel="0" collapsed="false">
      <c r="A5" s="6" t="s">
        <v>634</v>
      </c>
      <c r="B5" s="6" t="s">
        <v>635</v>
      </c>
      <c r="C5" s="6" t="s">
        <v>623</v>
      </c>
      <c r="D5" s="6" t="s">
        <v>636</v>
      </c>
      <c r="E5" s="6" t="s">
        <v>633</v>
      </c>
    </row>
    <row r="6" customFormat="false" ht="15" hidden="false" customHeight="false" outlineLevel="0" collapsed="false">
      <c r="A6" s="6" t="s">
        <v>637</v>
      </c>
      <c r="B6" s="6" t="s">
        <v>638</v>
      </c>
      <c r="C6" s="6" t="s">
        <v>623</v>
      </c>
      <c r="D6" s="6" t="s">
        <v>639</v>
      </c>
      <c r="E6" s="6" t="s">
        <v>640</v>
      </c>
    </row>
    <row r="7" customFormat="false" ht="15" hidden="false" customHeight="false" outlineLevel="0" collapsed="false">
      <c r="A7" s="6" t="s">
        <v>641</v>
      </c>
      <c r="B7" s="6" t="s">
        <v>642</v>
      </c>
      <c r="C7" s="6" t="s">
        <v>623</v>
      </c>
      <c r="D7" s="6" t="s">
        <v>643</v>
      </c>
      <c r="E7" s="6" t="s">
        <v>640</v>
      </c>
    </row>
    <row r="8" customFormat="false" ht="26.85" hidden="false" customHeight="false" outlineLevel="0" collapsed="false">
      <c r="A8" s="6" t="s">
        <v>644</v>
      </c>
      <c r="B8" s="6" t="s">
        <v>645</v>
      </c>
      <c r="C8" s="6" t="s">
        <v>623</v>
      </c>
      <c r="D8" s="6" t="s">
        <v>624</v>
      </c>
      <c r="E8" s="6" t="s">
        <v>646</v>
      </c>
    </row>
    <row r="9" customFormat="false" ht="26.85" hidden="false" customHeight="false" outlineLevel="0" collapsed="false">
      <c r="A9" s="6" t="s">
        <v>647</v>
      </c>
      <c r="B9" s="6" t="s">
        <v>648</v>
      </c>
      <c r="C9" s="6" t="s">
        <v>623</v>
      </c>
      <c r="D9" s="6" t="s">
        <v>643</v>
      </c>
      <c r="E9" s="6" t="s">
        <v>649</v>
      </c>
    </row>
    <row r="10" customFormat="false" ht="15" hidden="false" customHeight="false" outlineLevel="0" collapsed="false">
      <c r="A10" s="6" t="s">
        <v>650</v>
      </c>
      <c r="B10" s="6" t="s">
        <v>651</v>
      </c>
      <c r="C10" s="6" t="s">
        <v>623</v>
      </c>
      <c r="D10" s="6" t="s">
        <v>639</v>
      </c>
      <c r="E10" s="6" t="s">
        <v>652</v>
      </c>
    </row>
    <row r="11" customFormat="false" ht="15" hidden="false" customHeight="false" outlineLevel="0" collapsed="false">
      <c r="A11" s="6" t="s">
        <v>653</v>
      </c>
      <c r="B11" s="6" t="s">
        <v>654</v>
      </c>
      <c r="C11" s="6" t="s">
        <v>623</v>
      </c>
      <c r="D11" s="6" t="s">
        <v>636</v>
      </c>
      <c r="E11" s="6" t="s">
        <v>655</v>
      </c>
    </row>
    <row r="12" customFormat="false" ht="15" hidden="false" customHeight="false" outlineLevel="0" collapsed="false">
      <c r="A12" s="6" t="s">
        <v>656</v>
      </c>
      <c r="B12" s="6" t="s">
        <v>657</v>
      </c>
      <c r="C12" s="6" t="s">
        <v>623</v>
      </c>
      <c r="D12" s="6" t="s">
        <v>632</v>
      </c>
      <c r="E12" s="6" t="s">
        <v>655</v>
      </c>
    </row>
    <row r="13" customFormat="false" ht="15" hidden="false" customHeight="false" outlineLevel="0" collapsed="false">
      <c r="A13" s="6" t="s">
        <v>658</v>
      </c>
      <c r="B13" s="6" t="s">
        <v>659</v>
      </c>
      <c r="C13" s="6" t="s">
        <v>623</v>
      </c>
      <c r="D13" s="6" t="s">
        <v>624</v>
      </c>
      <c r="E13" s="6" t="s">
        <v>652</v>
      </c>
    </row>
    <row r="14" customFormat="false" ht="26.85" hidden="false" customHeight="false" outlineLevel="0" collapsed="false">
      <c r="A14" s="6" t="s">
        <v>660</v>
      </c>
      <c r="B14" s="6" t="s">
        <v>661</v>
      </c>
      <c r="C14" s="6" t="s">
        <v>623</v>
      </c>
      <c r="D14" s="6" t="s">
        <v>628</v>
      </c>
      <c r="E14" s="6" t="s">
        <v>662</v>
      </c>
    </row>
    <row r="15" customFormat="false" ht="39.55" hidden="false" customHeight="false" outlineLevel="0" collapsed="false">
      <c r="A15" s="6" t="s">
        <v>663</v>
      </c>
      <c r="B15" s="6" t="s">
        <v>664</v>
      </c>
      <c r="C15" s="6" t="s">
        <v>623</v>
      </c>
      <c r="D15" s="6" t="s">
        <v>643</v>
      </c>
      <c r="E15" s="6" t="s">
        <v>665</v>
      </c>
    </row>
    <row r="16" customFormat="false" ht="39.55" hidden="false" customHeight="false" outlineLevel="0" collapsed="false">
      <c r="A16" s="6" t="s">
        <v>666</v>
      </c>
      <c r="B16" s="6" t="s">
        <v>667</v>
      </c>
      <c r="C16" s="6" t="s">
        <v>623</v>
      </c>
      <c r="D16" s="6" t="s">
        <v>639</v>
      </c>
      <c r="E16" s="6" t="s">
        <v>668</v>
      </c>
    </row>
    <row r="17" customFormat="false" ht="15" hidden="false" customHeight="false" outlineLevel="0" collapsed="false">
      <c r="A17" s="6" t="s">
        <v>669</v>
      </c>
      <c r="B17" s="6" t="s">
        <v>670</v>
      </c>
      <c r="C17" s="6" t="s">
        <v>623</v>
      </c>
      <c r="D17" s="6" t="s">
        <v>624</v>
      </c>
      <c r="E17" s="6" t="s">
        <v>671</v>
      </c>
    </row>
    <row r="18" customFormat="false" ht="26.85" hidden="false" customHeight="false" outlineLevel="0" collapsed="false">
      <c r="A18" s="6" t="s">
        <v>672</v>
      </c>
      <c r="B18" s="6" t="s">
        <v>673</v>
      </c>
      <c r="C18" s="6" t="s">
        <v>623</v>
      </c>
      <c r="D18" s="6" t="s">
        <v>636</v>
      </c>
      <c r="E18" s="6" t="s">
        <v>674</v>
      </c>
    </row>
    <row r="19" customFormat="false" ht="26.85" hidden="false" customHeight="false" outlineLevel="0" collapsed="false">
      <c r="A19" s="6" t="s">
        <v>675</v>
      </c>
      <c r="B19" s="6" t="s">
        <v>676</v>
      </c>
      <c r="C19" s="6" t="s">
        <v>623</v>
      </c>
      <c r="D19" s="6" t="s">
        <v>624</v>
      </c>
      <c r="E19" s="6" t="s">
        <v>677</v>
      </c>
    </row>
    <row r="20" customFormat="false" ht="15" hidden="false" customHeight="false" outlineLevel="0" collapsed="false">
      <c r="A20" s="6" t="s">
        <v>678</v>
      </c>
      <c r="B20" s="6" t="s">
        <v>679</v>
      </c>
      <c r="C20" s="6" t="s">
        <v>623</v>
      </c>
      <c r="D20" s="6" t="s">
        <v>628</v>
      </c>
      <c r="E20" s="6" t="s">
        <v>671</v>
      </c>
    </row>
    <row r="21" customFormat="false" ht="15" hidden="false" customHeight="false" outlineLevel="0" collapsed="false">
      <c r="A21" s="6" t="s">
        <v>680</v>
      </c>
      <c r="B21" s="6" t="s">
        <v>681</v>
      </c>
      <c r="C21" s="6" t="s">
        <v>623</v>
      </c>
      <c r="D21" s="6" t="s">
        <v>643</v>
      </c>
      <c r="E21" s="6" t="s">
        <v>682</v>
      </c>
    </row>
    <row r="22" customFormat="false" ht="15" hidden="false" customHeight="false" outlineLevel="0" collapsed="false">
      <c r="A22" s="6" t="s">
        <v>683</v>
      </c>
      <c r="B22" s="6" t="s">
        <v>684</v>
      </c>
      <c r="C22" s="6" t="s">
        <v>623</v>
      </c>
      <c r="D22" s="6" t="s">
        <v>685</v>
      </c>
      <c r="E22" s="6" t="s">
        <v>686</v>
      </c>
    </row>
    <row r="23" customFormat="false" ht="39.55" hidden="false" customHeight="false" outlineLevel="0" collapsed="false">
      <c r="A23" s="6" t="s">
        <v>687</v>
      </c>
      <c r="B23" s="6" t="s">
        <v>688</v>
      </c>
      <c r="C23" s="6" t="s">
        <v>689</v>
      </c>
      <c r="D23" s="6" t="s">
        <v>690</v>
      </c>
      <c r="E23" s="6" t="s">
        <v>691</v>
      </c>
    </row>
    <row r="24" customFormat="false" ht="77.6" hidden="false" customHeight="false" outlineLevel="0" collapsed="false">
      <c r="A24" s="6" t="s">
        <v>692</v>
      </c>
      <c r="B24" s="6" t="s">
        <v>693</v>
      </c>
      <c r="C24" s="6" t="s">
        <v>689</v>
      </c>
      <c r="D24" s="6" t="s">
        <v>694</v>
      </c>
      <c r="E24" s="6" t="s">
        <v>691</v>
      </c>
    </row>
    <row r="25" customFormat="false" ht="39.55" hidden="false" customHeight="false" outlineLevel="0" collapsed="false">
      <c r="A25" s="6" t="s">
        <v>695</v>
      </c>
      <c r="B25" s="6" t="s">
        <v>696</v>
      </c>
      <c r="C25" s="6" t="s">
        <v>623</v>
      </c>
      <c r="D25" s="6" t="s">
        <v>697</v>
      </c>
      <c r="E25" s="6" t="s">
        <v>698</v>
      </c>
    </row>
    <row r="26" customFormat="false" ht="15" hidden="false" customHeight="false" outlineLevel="0" collapsed="false">
      <c r="A26" s="6" t="s">
        <v>699</v>
      </c>
      <c r="B26" s="6" t="s">
        <v>700</v>
      </c>
      <c r="C26" s="6" t="s">
        <v>623</v>
      </c>
      <c r="D26" s="6" t="s">
        <v>685</v>
      </c>
      <c r="E26" s="6" t="s">
        <v>701</v>
      </c>
    </row>
    <row r="27" customFormat="false" ht="15" hidden="false" customHeight="false" outlineLevel="0" collapsed="false">
      <c r="A27" s="6" t="s">
        <v>702</v>
      </c>
      <c r="B27" s="6" t="s">
        <v>703</v>
      </c>
      <c r="C27" s="6" t="s">
        <v>623</v>
      </c>
      <c r="D27" s="6" t="s">
        <v>632</v>
      </c>
      <c r="E27" s="6" t="s">
        <v>704</v>
      </c>
    </row>
    <row r="28" customFormat="false" ht="26.85" hidden="false" customHeight="false" outlineLevel="0" collapsed="false">
      <c r="A28" s="6" t="s">
        <v>705</v>
      </c>
      <c r="B28" s="6" t="s">
        <v>706</v>
      </c>
      <c r="C28" s="6" t="s">
        <v>623</v>
      </c>
      <c r="D28" s="6" t="s">
        <v>636</v>
      </c>
      <c r="E28" s="6" t="s">
        <v>707</v>
      </c>
    </row>
    <row r="29" customFormat="false" ht="15" hidden="false" customHeight="false" outlineLevel="0" collapsed="false">
      <c r="A29" s="6" t="s">
        <v>708</v>
      </c>
      <c r="B29" s="6" t="s">
        <v>709</v>
      </c>
      <c r="C29" s="6" t="s">
        <v>623</v>
      </c>
      <c r="D29" s="6" t="s">
        <v>697</v>
      </c>
      <c r="E29" s="6" t="s">
        <v>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7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5" t="s">
        <v>13</v>
      </c>
      <c r="B1" s="5" t="s">
        <v>711</v>
      </c>
      <c r="C1" s="5" t="s">
        <v>712</v>
      </c>
      <c r="D1" s="5" t="s">
        <v>713</v>
      </c>
      <c r="E1" s="5" t="s">
        <v>19</v>
      </c>
      <c r="F1" s="5" t="s">
        <v>714</v>
      </c>
    </row>
    <row r="2" customFormat="false" ht="26.85" hidden="false" customHeight="false" outlineLevel="0" collapsed="false">
      <c r="A2" s="6" t="s">
        <v>715</v>
      </c>
      <c r="B2" s="6" t="s">
        <v>716</v>
      </c>
      <c r="C2" s="6" t="s">
        <v>717</v>
      </c>
      <c r="D2" s="6" t="s">
        <v>717</v>
      </c>
      <c r="E2" s="6" t="n">
        <v>438</v>
      </c>
      <c r="F2" s="6"/>
    </row>
    <row r="3" customFormat="false" ht="15" hidden="false" customHeight="false" outlineLevel="0" collapsed="false">
      <c r="A3" s="6" t="s">
        <v>718</v>
      </c>
      <c r="B3" s="6" t="s">
        <v>719</v>
      </c>
      <c r="C3" s="6" t="s">
        <v>720</v>
      </c>
      <c r="D3" s="6" t="s">
        <v>720</v>
      </c>
      <c r="E3" s="6" t="n">
        <v>438</v>
      </c>
      <c r="F3" s="6"/>
    </row>
    <row r="4" customFormat="false" ht="15" hidden="false" customHeight="false" outlineLevel="0" collapsed="false">
      <c r="A4" s="6" t="s">
        <v>721</v>
      </c>
      <c r="B4" s="6" t="s">
        <v>722</v>
      </c>
      <c r="C4" s="6" t="s">
        <v>723</v>
      </c>
      <c r="D4" s="6" t="s">
        <v>723</v>
      </c>
      <c r="E4" s="6" t="n">
        <v>438</v>
      </c>
      <c r="F4" s="6"/>
    </row>
    <row r="5" customFormat="false" ht="15" hidden="false" customHeight="false" outlineLevel="0" collapsed="false">
      <c r="A5" s="6" t="s">
        <v>724</v>
      </c>
      <c r="B5" s="6" t="s">
        <v>104</v>
      </c>
      <c r="C5" s="6" t="s">
        <v>725</v>
      </c>
      <c r="D5" s="6" t="s">
        <v>726</v>
      </c>
      <c r="E5" s="6" t="n">
        <v>438</v>
      </c>
      <c r="F5" s="6"/>
    </row>
    <row r="6" customFormat="false" ht="15" hidden="false" customHeight="false" outlineLevel="0" collapsed="false">
      <c r="A6" s="6" t="s">
        <v>727</v>
      </c>
      <c r="B6" s="6" t="s">
        <v>151</v>
      </c>
      <c r="C6" s="6" t="s">
        <v>728</v>
      </c>
      <c r="D6" s="6" t="s">
        <v>728</v>
      </c>
      <c r="E6" s="6" t="n">
        <v>438</v>
      </c>
      <c r="F6" s="6"/>
    </row>
    <row r="7" customFormat="false" ht="15" hidden="false" customHeight="false" outlineLevel="0" collapsed="false">
      <c r="A7" s="6" t="s">
        <v>729</v>
      </c>
      <c r="B7" s="6" t="s">
        <v>730</v>
      </c>
      <c r="C7" s="6" t="s">
        <v>731</v>
      </c>
      <c r="D7" s="6" t="s">
        <v>732</v>
      </c>
      <c r="E7" s="6" t="n">
        <v>438</v>
      </c>
      <c r="F7" s="6"/>
    </row>
    <row r="8" customFormat="false" ht="15" hidden="false" customHeight="false" outlineLevel="0" collapsed="false">
      <c r="A8" s="6" t="s">
        <v>733</v>
      </c>
      <c r="B8" s="6" t="s">
        <v>734</v>
      </c>
      <c r="C8" s="6" t="s">
        <v>735</v>
      </c>
      <c r="D8" s="6" t="s">
        <v>736</v>
      </c>
      <c r="E8" s="6" t="n">
        <v>438</v>
      </c>
      <c r="F8" s="6"/>
    </row>
    <row r="9" customFormat="false" ht="15" hidden="false" customHeight="false" outlineLevel="0" collapsed="false">
      <c r="A9" s="6" t="s">
        <v>737</v>
      </c>
      <c r="B9" s="6" t="s">
        <v>738</v>
      </c>
      <c r="C9" s="6" t="s">
        <v>739</v>
      </c>
      <c r="D9" s="6" t="s">
        <v>740</v>
      </c>
      <c r="E9" s="6" t="n">
        <v>438</v>
      </c>
      <c r="F9" s="6"/>
    </row>
    <row r="10" customFormat="false" ht="15" hidden="false" customHeight="false" outlineLevel="0" collapsed="false">
      <c r="A10" s="6" t="s">
        <v>741</v>
      </c>
      <c r="B10" s="6" t="s">
        <v>742</v>
      </c>
      <c r="C10" s="6" t="s">
        <v>743</v>
      </c>
      <c r="D10" s="6" t="s">
        <v>744</v>
      </c>
      <c r="E10" s="6" t="n">
        <v>438</v>
      </c>
      <c r="F10" s="6"/>
    </row>
    <row r="11" customFormat="false" ht="15" hidden="false" customHeight="false" outlineLevel="0" collapsed="false">
      <c r="A11" s="6" t="s">
        <v>745</v>
      </c>
      <c r="B11" s="6" t="s">
        <v>746</v>
      </c>
      <c r="C11" s="6" t="s">
        <v>747</v>
      </c>
      <c r="D11" s="6" t="s">
        <v>748</v>
      </c>
      <c r="E11" s="6" t="n">
        <v>438</v>
      </c>
      <c r="F11" s="6" t="s">
        <v>749</v>
      </c>
    </row>
    <row r="12" customFormat="false" ht="15" hidden="false" customHeight="false" outlineLevel="0" collapsed="false">
      <c r="A12" s="6" t="s">
        <v>750</v>
      </c>
      <c r="B12" s="6" t="s">
        <v>751</v>
      </c>
      <c r="C12" s="6" t="s">
        <v>752</v>
      </c>
      <c r="D12" s="6" t="s">
        <v>753</v>
      </c>
      <c r="E12" s="6" t="n">
        <v>438</v>
      </c>
      <c r="F12" s="6"/>
    </row>
    <row r="13" customFormat="false" ht="15" hidden="false" customHeight="false" outlineLevel="0" collapsed="false">
      <c r="A13" s="6" t="s">
        <v>754</v>
      </c>
      <c r="B13" s="6" t="s">
        <v>755</v>
      </c>
      <c r="C13" s="6" t="s">
        <v>723</v>
      </c>
      <c r="D13" s="6" t="s">
        <v>756</v>
      </c>
      <c r="E13" s="6" t="n">
        <v>438</v>
      </c>
      <c r="F13" s="6"/>
    </row>
    <row r="14" customFormat="false" ht="15" hidden="false" customHeight="false" outlineLevel="0" collapsed="false">
      <c r="A14" s="6" t="s">
        <v>757</v>
      </c>
      <c r="B14" s="6" t="s">
        <v>272</v>
      </c>
      <c r="C14" s="6" t="s">
        <v>758</v>
      </c>
      <c r="D14" s="6" t="s">
        <v>759</v>
      </c>
      <c r="E14" s="6" t="n">
        <v>438</v>
      </c>
      <c r="F14" s="6"/>
    </row>
    <row r="15" customFormat="false" ht="15" hidden="false" customHeight="false" outlineLevel="0" collapsed="false">
      <c r="A15" s="6" t="s">
        <v>760</v>
      </c>
      <c r="B15" s="6" t="s">
        <v>761</v>
      </c>
      <c r="C15" s="6" t="s">
        <v>762</v>
      </c>
      <c r="D15" s="6" t="s">
        <v>763</v>
      </c>
      <c r="E15" s="6" t="n">
        <v>438</v>
      </c>
      <c r="F15" s="6"/>
    </row>
    <row r="16" customFormat="false" ht="15" hidden="false" customHeight="false" outlineLevel="0" collapsed="false">
      <c r="A16" s="6" t="s">
        <v>764</v>
      </c>
      <c r="B16" s="6" t="s">
        <v>765</v>
      </c>
      <c r="C16" s="6" t="s">
        <v>766</v>
      </c>
      <c r="D16" s="6" t="s">
        <v>767</v>
      </c>
      <c r="E16" s="6" t="n">
        <v>438</v>
      </c>
      <c r="F16" s="6"/>
    </row>
    <row r="17" customFormat="false" ht="15" hidden="false" customHeight="false" outlineLevel="0" collapsed="false">
      <c r="A17" s="6" t="s">
        <v>768</v>
      </c>
      <c r="B17" s="6" t="s">
        <v>769</v>
      </c>
      <c r="C17" s="6" t="s">
        <v>770</v>
      </c>
      <c r="D17" s="6" t="s">
        <v>770</v>
      </c>
      <c r="E17" s="6" t="n">
        <v>438</v>
      </c>
      <c r="F17" s="6"/>
    </row>
    <row r="18" customFormat="false" ht="15" hidden="false" customHeight="false" outlineLevel="0" collapsed="false">
      <c r="A18" s="6" t="s">
        <v>771</v>
      </c>
      <c r="B18" s="6" t="s">
        <v>375</v>
      </c>
      <c r="C18" s="6" t="s">
        <v>772</v>
      </c>
      <c r="D18" s="6" t="s">
        <v>770</v>
      </c>
      <c r="E18" s="6" t="n">
        <v>438</v>
      </c>
      <c r="F18" s="6"/>
    </row>
    <row r="19" customFormat="false" ht="15" hidden="false" customHeight="false" outlineLevel="0" collapsed="false">
      <c r="A19" s="6" t="s">
        <v>773</v>
      </c>
      <c r="B19" s="6" t="s">
        <v>140</v>
      </c>
      <c r="C19" s="6" t="s">
        <v>774</v>
      </c>
      <c r="D19" s="6" t="s">
        <v>774</v>
      </c>
      <c r="E19" s="6" t="n">
        <v>438</v>
      </c>
      <c r="F19" s="6"/>
    </row>
    <row r="20" customFormat="false" ht="15" hidden="false" customHeight="false" outlineLevel="0" collapsed="false">
      <c r="A20" s="6" t="s">
        <v>775</v>
      </c>
      <c r="B20" s="6" t="s">
        <v>776</v>
      </c>
      <c r="C20" s="6" t="s">
        <v>756</v>
      </c>
      <c r="D20" s="6" t="s">
        <v>777</v>
      </c>
      <c r="E20" s="6" t="n">
        <v>438</v>
      </c>
      <c r="F20" s="6"/>
    </row>
    <row r="21" customFormat="false" ht="15" hidden="false" customHeight="false" outlineLevel="0" collapsed="false">
      <c r="A21" s="6" t="s">
        <v>778</v>
      </c>
      <c r="B21" s="6" t="s">
        <v>435</v>
      </c>
      <c r="C21" s="6" t="s">
        <v>735</v>
      </c>
      <c r="D21" s="6" t="s">
        <v>732</v>
      </c>
      <c r="E21" s="6" t="n">
        <v>438</v>
      </c>
      <c r="F21" s="6"/>
    </row>
    <row r="22" customFormat="false" ht="15" hidden="false" customHeight="false" outlineLevel="0" collapsed="false">
      <c r="A22" s="6" t="s">
        <v>779</v>
      </c>
      <c r="B22" s="6" t="s">
        <v>780</v>
      </c>
      <c r="C22" s="6" t="s">
        <v>762</v>
      </c>
      <c r="D22" s="6" t="s">
        <v>756</v>
      </c>
      <c r="E22" s="6" t="n">
        <v>438</v>
      </c>
      <c r="F22" s="6"/>
    </row>
    <row r="23" customFormat="false" ht="15" hidden="false" customHeight="false" outlineLevel="0" collapsed="false">
      <c r="A23" s="6" t="s">
        <v>781</v>
      </c>
      <c r="B23" s="6" t="s">
        <v>457</v>
      </c>
      <c r="C23" s="6" t="s">
        <v>782</v>
      </c>
      <c r="D23" s="6" t="s">
        <v>782</v>
      </c>
      <c r="E23" s="6" t="n">
        <v>438</v>
      </c>
      <c r="F23" s="6"/>
    </row>
    <row r="24" customFormat="false" ht="15" hidden="false" customHeight="false" outlineLevel="0" collapsed="false">
      <c r="A24" s="6" t="s">
        <v>783</v>
      </c>
      <c r="B24" s="6" t="s">
        <v>784</v>
      </c>
      <c r="C24" s="6" t="s">
        <v>785</v>
      </c>
      <c r="D24" s="6" t="s">
        <v>786</v>
      </c>
      <c r="E24" s="6" t="n">
        <v>438</v>
      </c>
      <c r="F24" s="6"/>
    </row>
    <row r="25" customFormat="false" ht="15" hidden="false" customHeight="false" outlineLevel="0" collapsed="false">
      <c r="A25" s="6" t="s">
        <v>787</v>
      </c>
      <c r="B25" s="6" t="s">
        <v>788</v>
      </c>
      <c r="C25" s="6" t="s">
        <v>756</v>
      </c>
      <c r="D25" s="6" t="s">
        <v>789</v>
      </c>
      <c r="E25" s="6" t="n">
        <v>438</v>
      </c>
      <c r="F25" s="6"/>
    </row>
    <row r="26" customFormat="false" ht="15" hidden="false" customHeight="false" outlineLevel="0" collapsed="false">
      <c r="A26" s="6" t="s">
        <v>790</v>
      </c>
      <c r="B26" s="6" t="s">
        <v>791</v>
      </c>
      <c r="C26" s="6" t="s">
        <v>735</v>
      </c>
      <c r="D26" s="6" t="s">
        <v>792</v>
      </c>
      <c r="E26" s="6" t="n">
        <v>438</v>
      </c>
      <c r="F26" s="6"/>
    </row>
    <row r="27" customFormat="false" ht="15" hidden="false" customHeight="false" outlineLevel="0" collapsed="false">
      <c r="A27" s="6" t="s">
        <v>793</v>
      </c>
      <c r="B27" s="6" t="s">
        <v>794</v>
      </c>
      <c r="C27" s="6" t="s">
        <v>795</v>
      </c>
      <c r="D27" s="6" t="s">
        <v>795</v>
      </c>
      <c r="E27" s="6" t="n">
        <v>438</v>
      </c>
      <c r="F27" s="6"/>
    </row>
    <row r="28" customFormat="false" ht="26.85" hidden="false" customHeight="false" outlineLevel="0" collapsed="false">
      <c r="A28" s="6" t="s">
        <v>796</v>
      </c>
      <c r="B28" s="6" t="s">
        <v>797</v>
      </c>
      <c r="C28" s="6" t="s">
        <v>798</v>
      </c>
      <c r="D28" s="6" t="s">
        <v>799</v>
      </c>
      <c r="E28" s="6" t="n">
        <v>438</v>
      </c>
      <c r="F28" s="6" t="s">
        <v>800</v>
      </c>
    </row>
    <row r="29" customFormat="false" ht="15" hidden="false" customHeight="false" outlineLevel="0" collapsed="false">
      <c r="A29" s="6" t="s">
        <v>801</v>
      </c>
      <c r="B29" s="6" t="s">
        <v>802</v>
      </c>
      <c r="C29" s="6" t="s">
        <v>803</v>
      </c>
      <c r="D29" s="6" t="s">
        <v>803</v>
      </c>
      <c r="E29" s="6" t="n">
        <v>438</v>
      </c>
      <c r="F29" s="6"/>
    </row>
    <row r="30" customFormat="false" ht="15" hidden="false" customHeight="false" outlineLevel="0" collapsed="false">
      <c r="A30" s="6" t="s">
        <v>804</v>
      </c>
      <c r="B30" s="6" t="s">
        <v>805</v>
      </c>
      <c r="C30" s="6" t="s">
        <v>735</v>
      </c>
      <c r="D30" s="6" t="s">
        <v>806</v>
      </c>
      <c r="E30" s="6" t="n">
        <v>438</v>
      </c>
      <c r="F30" s="6"/>
    </row>
    <row r="31" customFormat="false" ht="26.85" hidden="false" customHeight="false" outlineLevel="0" collapsed="false">
      <c r="A31" s="6" t="s">
        <v>807</v>
      </c>
      <c r="B31" s="6" t="s">
        <v>808</v>
      </c>
      <c r="C31" s="6" t="s">
        <v>809</v>
      </c>
      <c r="D31" s="6" t="s">
        <v>777</v>
      </c>
      <c r="E31" s="6" t="n">
        <v>439</v>
      </c>
      <c r="F31" s="6" t="s">
        <v>810</v>
      </c>
    </row>
    <row r="32" customFormat="false" ht="15" hidden="false" customHeight="false" outlineLevel="0" collapsed="false">
      <c r="A32" s="6" t="s">
        <v>811</v>
      </c>
      <c r="B32" s="6" t="s">
        <v>812</v>
      </c>
      <c r="C32" s="6" t="s">
        <v>756</v>
      </c>
      <c r="D32" s="6" t="s">
        <v>723</v>
      </c>
      <c r="E32" s="6" t="n">
        <v>439</v>
      </c>
      <c r="F32" s="6"/>
    </row>
    <row r="33" customFormat="false" ht="15" hidden="false" customHeight="false" outlineLevel="0" collapsed="false">
      <c r="A33" s="6" t="s">
        <v>813</v>
      </c>
      <c r="B33" s="6" t="s">
        <v>487</v>
      </c>
      <c r="C33" s="6" t="s">
        <v>735</v>
      </c>
      <c r="D33" s="6" t="s">
        <v>744</v>
      </c>
      <c r="E33" s="6" t="n">
        <v>439</v>
      </c>
      <c r="F33" s="6"/>
    </row>
    <row r="34" customFormat="false" ht="15" hidden="false" customHeight="false" outlineLevel="0" collapsed="false">
      <c r="A34" s="6" t="s">
        <v>814</v>
      </c>
      <c r="B34" s="6" t="s">
        <v>815</v>
      </c>
      <c r="C34" s="6" t="s">
        <v>809</v>
      </c>
      <c r="D34" s="6" t="s">
        <v>744</v>
      </c>
      <c r="E34" s="6" t="n">
        <v>439</v>
      </c>
      <c r="F34" s="6"/>
    </row>
    <row r="35" customFormat="false" ht="15" hidden="false" customHeight="false" outlineLevel="0" collapsed="false">
      <c r="A35" s="6" t="s">
        <v>816</v>
      </c>
      <c r="B35" s="6" t="s">
        <v>546</v>
      </c>
      <c r="C35" s="6" t="s">
        <v>817</v>
      </c>
      <c r="D35" s="6" t="s">
        <v>818</v>
      </c>
      <c r="E35" s="6" t="n">
        <v>439</v>
      </c>
      <c r="F35" s="6"/>
    </row>
    <row r="36" customFormat="false" ht="15" hidden="false" customHeight="false" outlineLevel="0" collapsed="false">
      <c r="A36" s="6" t="s">
        <v>819</v>
      </c>
      <c r="B36" s="6" t="s">
        <v>820</v>
      </c>
      <c r="C36" s="6" t="s">
        <v>735</v>
      </c>
      <c r="D36" s="6" t="s">
        <v>767</v>
      </c>
      <c r="E36" s="6" t="n">
        <v>439</v>
      </c>
      <c r="F36" s="6"/>
    </row>
    <row r="37" customFormat="false" ht="15" hidden="false" customHeight="false" outlineLevel="0" collapsed="false">
      <c r="A37" s="6" t="s">
        <v>821</v>
      </c>
      <c r="B37" s="6" t="s">
        <v>822</v>
      </c>
      <c r="C37" s="6" t="s">
        <v>743</v>
      </c>
      <c r="D37" s="6" t="s">
        <v>756</v>
      </c>
      <c r="E37" s="6" t="n">
        <v>439</v>
      </c>
      <c r="F37" s="6"/>
    </row>
    <row r="38" customFormat="false" ht="15" hidden="false" customHeight="false" outlineLevel="0" collapsed="false">
      <c r="A38" s="6" t="s">
        <v>823</v>
      </c>
      <c r="B38" s="6" t="s">
        <v>824</v>
      </c>
      <c r="C38" s="6" t="s">
        <v>759</v>
      </c>
      <c r="D38" s="6" t="s">
        <v>762</v>
      </c>
      <c r="E38" s="6" t="n">
        <v>439</v>
      </c>
      <c r="F38" s="6"/>
    </row>
    <row r="39" customFormat="false" ht="15" hidden="false" customHeight="false" outlineLevel="0" collapsed="false">
      <c r="A39" s="6" t="s">
        <v>825</v>
      </c>
      <c r="B39" s="6" t="s">
        <v>558</v>
      </c>
      <c r="C39" s="6" t="s">
        <v>826</v>
      </c>
      <c r="D39" s="6" t="s">
        <v>827</v>
      </c>
      <c r="E39" s="6" t="n">
        <v>439</v>
      </c>
      <c r="F39" s="6"/>
    </row>
    <row r="40" customFormat="false" ht="26.85" hidden="false" customHeight="false" outlineLevel="0" collapsed="false">
      <c r="A40" s="6" t="s">
        <v>828</v>
      </c>
      <c r="B40" s="6" t="s">
        <v>829</v>
      </c>
      <c r="C40" s="6" t="s">
        <v>830</v>
      </c>
      <c r="D40" s="6" t="s">
        <v>831</v>
      </c>
      <c r="E40" s="6" t="n">
        <v>439</v>
      </c>
      <c r="F40" s="6" t="s">
        <v>832</v>
      </c>
    </row>
    <row r="41" customFormat="false" ht="15" hidden="false" customHeight="false" outlineLevel="0" collapsed="false">
      <c r="A41" s="6" t="s">
        <v>833</v>
      </c>
      <c r="B41" s="6" t="s">
        <v>834</v>
      </c>
      <c r="C41" s="6" t="s">
        <v>835</v>
      </c>
      <c r="D41" s="6" t="s">
        <v>732</v>
      </c>
      <c r="E41" s="6" t="n">
        <v>439</v>
      </c>
      <c r="F41" s="6" t="s">
        <v>836</v>
      </c>
    </row>
    <row r="42" customFormat="false" ht="15" hidden="false" customHeight="false" outlineLevel="0" collapsed="false">
      <c r="A42" s="6" t="s">
        <v>837</v>
      </c>
      <c r="B42" s="6" t="s">
        <v>834</v>
      </c>
      <c r="C42" s="6" t="s">
        <v>756</v>
      </c>
      <c r="D42" s="6" t="s">
        <v>838</v>
      </c>
      <c r="E42" s="6" t="n">
        <v>439</v>
      </c>
      <c r="F42" s="6" t="s">
        <v>836</v>
      </c>
    </row>
    <row r="43" customFormat="false" ht="15" hidden="false" customHeight="false" outlineLevel="0" collapsed="false">
      <c r="A43" s="6" t="s">
        <v>839</v>
      </c>
      <c r="B43" s="6" t="s">
        <v>840</v>
      </c>
      <c r="C43" s="6" t="s">
        <v>772</v>
      </c>
      <c r="D43" s="6" t="s">
        <v>831</v>
      </c>
      <c r="E43" s="6" t="n">
        <v>439</v>
      </c>
      <c r="F43" s="6"/>
    </row>
    <row r="44" customFormat="false" ht="15" hidden="false" customHeight="false" outlineLevel="0" collapsed="false">
      <c r="A44" s="6" t="s">
        <v>841</v>
      </c>
      <c r="B44" s="6" t="s">
        <v>578</v>
      </c>
      <c r="C44" s="6" t="s">
        <v>735</v>
      </c>
      <c r="D44" s="6" t="s">
        <v>744</v>
      </c>
      <c r="E44" s="6" t="n">
        <v>439</v>
      </c>
      <c r="F44" s="6"/>
    </row>
    <row r="45" customFormat="false" ht="15" hidden="false" customHeight="false" outlineLevel="0" collapsed="false">
      <c r="A45" s="6" t="s">
        <v>842</v>
      </c>
      <c r="B45" s="6" t="s">
        <v>843</v>
      </c>
      <c r="C45" s="6" t="s">
        <v>838</v>
      </c>
      <c r="D45" s="6" t="s">
        <v>732</v>
      </c>
      <c r="E45" s="6" t="n">
        <v>439</v>
      </c>
      <c r="F45" s="6"/>
    </row>
    <row r="46" customFormat="false" ht="15" hidden="false" customHeight="false" outlineLevel="0" collapsed="false">
      <c r="A46" s="6" t="s">
        <v>844</v>
      </c>
      <c r="B46" s="6" t="s">
        <v>845</v>
      </c>
      <c r="C46" s="6" t="s">
        <v>756</v>
      </c>
      <c r="D46" s="6" t="s">
        <v>759</v>
      </c>
      <c r="E46" s="6" t="n">
        <v>439</v>
      </c>
      <c r="F46" s="6"/>
    </row>
    <row r="47" customFormat="false" ht="15" hidden="false" customHeight="false" outlineLevel="0" collapsed="false">
      <c r="A47" s="6" t="s">
        <v>846</v>
      </c>
      <c r="B47" s="6" t="s">
        <v>847</v>
      </c>
      <c r="C47" s="6" t="s">
        <v>838</v>
      </c>
      <c r="D47" s="6" t="s">
        <v>848</v>
      </c>
      <c r="E47" s="6" t="n">
        <v>439</v>
      </c>
      <c r="F47" s="6" t="s">
        <v>849</v>
      </c>
    </row>
    <row r="48" customFormat="false" ht="15" hidden="false" customHeight="false" outlineLevel="0" collapsed="false">
      <c r="A48" s="6" t="s">
        <v>850</v>
      </c>
      <c r="B48" s="6" t="s">
        <v>851</v>
      </c>
      <c r="C48" s="6" t="s">
        <v>756</v>
      </c>
      <c r="D48" s="6" t="s">
        <v>852</v>
      </c>
      <c r="E48" s="6" t="n">
        <v>439</v>
      </c>
      <c r="F48" s="6" t="s">
        <v>853</v>
      </c>
    </row>
    <row r="49" customFormat="false" ht="15" hidden="false" customHeight="false" outlineLevel="0" collapsed="false">
      <c r="A49" s="6" t="s">
        <v>854</v>
      </c>
      <c r="B49" s="6" t="s">
        <v>587</v>
      </c>
      <c r="C49" s="6" t="s">
        <v>756</v>
      </c>
      <c r="D49" s="6" t="s">
        <v>831</v>
      </c>
      <c r="E49" s="6" t="n">
        <v>439</v>
      </c>
      <c r="F49" s="6"/>
    </row>
    <row r="50" customFormat="false" ht="15" hidden="false" customHeight="false" outlineLevel="0" collapsed="false">
      <c r="A50" s="6" t="s">
        <v>855</v>
      </c>
      <c r="B50" s="6" t="s">
        <v>856</v>
      </c>
      <c r="C50" s="6" t="s">
        <v>735</v>
      </c>
      <c r="D50" s="6" t="s">
        <v>767</v>
      </c>
      <c r="E50" s="6" t="n">
        <v>439</v>
      </c>
      <c r="F50" s="6"/>
    </row>
    <row r="51" customFormat="false" ht="26.85" hidden="false" customHeight="false" outlineLevel="0" collapsed="false">
      <c r="A51" s="6" t="s">
        <v>857</v>
      </c>
      <c r="B51" s="6" t="s">
        <v>858</v>
      </c>
      <c r="C51" s="6" t="s">
        <v>859</v>
      </c>
      <c r="D51" s="6" t="s">
        <v>756</v>
      </c>
      <c r="E51" s="6" t="n">
        <v>439</v>
      </c>
      <c r="F51" s="6" t="s">
        <v>860</v>
      </c>
    </row>
    <row r="52" customFormat="false" ht="15" hidden="false" customHeight="false" outlineLevel="0" collapsed="false">
      <c r="A52" s="6" t="s">
        <v>861</v>
      </c>
      <c r="B52" s="6" t="s">
        <v>862</v>
      </c>
      <c r="C52" s="6" t="s">
        <v>838</v>
      </c>
      <c r="D52" s="6" t="s">
        <v>792</v>
      </c>
      <c r="E52" s="6" t="n">
        <v>439</v>
      </c>
      <c r="F52" s="6"/>
    </row>
    <row r="53" customFormat="false" ht="15" hidden="false" customHeight="false" outlineLevel="0" collapsed="false">
      <c r="A53" s="6" t="s">
        <v>863</v>
      </c>
      <c r="B53" s="6" t="s">
        <v>864</v>
      </c>
      <c r="C53" s="6" t="s">
        <v>756</v>
      </c>
      <c r="D53" s="6" t="s">
        <v>865</v>
      </c>
      <c r="E53" s="6" t="n">
        <v>439</v>
      </c>
      <c r="F53" s="6"/>
    </row>
    <row r="54" customFormat="false" ht="15" hidden="false" customHeight="false" outlineLevel="0" collapsed="false">
      <c r="A54" s="6" t="s">
        <v>866</v>
      </c>
      <c r="B54" s="6" t="s">
        <v>867</v>
      </c>
      <c r="C54" s="6" t="s">
        <v>782</v>
      </c>
      <c r="D54" s="6" t="s">
        <v>782</v>
      </c>
      <c r="E54" s="6" t="n">
        <v>439</v>
      </c>
      <c r="F54" s="6"/>
    </row>
    <row r="55" customFormat="false" ht="15" hidden="false" customHeight="false" outlineLevel="0" collapsed="false">
      <c r="A55" s="6" t="s">
        <v>868</v>
      </c>
      <c r="B55" s="6" t="s">
        <v>869</v>
      </c>
      <c r="C55" s="6" t="s">
        <v>870</v>
      </c>
      <c r="D55" s="6" t="s">
        <v>870</v>
      </c>
      <c r="E55" s="6" t="n">
        <v>439</v>
      </c>
      <c r="F55" s="6"/>
    </row>
    <row r="56" customFormat="false" ht="15" hidden="false" customHeight="false" outlineLevel="0" collapsed="false">
      <c r="A56" s="6" t="s">
        <v>871</v>
      </c>
      <c r="B56" s="6" t="s">
        <v>872</v>
      </c>
      <c r="C56" s="6" t="s">
        <v>870</v>
      </c>
      <c r="D56" s="6" t="s">
        <v>744</v>
      </c>
      <c r="E56" s="6" t="n">
        <v>439</v>
      </c>
      <c r="F56" s="6"/>
    </row>
    <row r="57" customFormat="false" ht="15" hidden="false" customHeight="false" outlineLevel="0" collapsed="false">
      <c r="A57" s="6" t="s">
        <v>873</v>
      </c>
      <c r="B57" s="6" t="s">
        <v>874</v>
      </c>
      <c r="C57" s="6" t="s">
        <v>795</v>
      </c>
      <c r="D57" s="6" t="s">
        <v>795</v>
      </c>
      <c r="E57" s="6" t="n">
        <v>439</v>
      </c>
      <c r="F5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6" min="4" style="0" width="30"/>
    <col collapsed="false" customWidth="true" hidden="false" outlineLevel="0" max="7" min="7" style="0" width="9"/>
  </cols>
  <sheetData>
    <row r="1" customFormat="false" ht="15" hidden="false" customHeight="false" outlineLevel="0" collapsed="false">
      <c r="A1" s="5" t="s">
        <v>875</v>
      </c>
      <c r="B1" s="5" t="s">
        <v>876</v>
      </c>
      <c r="C1" s="5" t="s">
        <v>877</v>
      </c>
      <c r="D1" s="5" t="s">
        <v>878</v>
      </c>
      <c r="E1" s="5" t="s">
        <v>879</v>
      </c>
      <c r="F1" s="5" t="s">
        <v>880</v>
      </c>
      <c r="G1" s="5" t="s">
        <v>19</v>
      </c>
    </row>
    <row r="2" customFormat="false" ht="26.85" hidden="false" customHeight="false" outlineLevel="0" collapsed="false">
      <c r="A2" s="6" t="n">
        <v>1</v>
      </c>
      <c r="B2" s="6" t="s">
        <v>881</v>
      </c>
      <c r="C2" s="6" t="s">
        <v>882</v>
      </c>
      <c r="D2" s="6" t="s">
        <v>883</v>
      </c>
      <c r="E2" s="6" t="s">
        <v>884</v>
      </c>
      <c r="F2" s="6" t="s">
        <v>885</v>
      </c>
      <c r="G2" s="6" t="s">
        <v>886</v>
      </c>
    </row>
    <row r="3" customFormat="false" ht="26.85" hidden="false" customHeight="false" outlineLevel="0" collapsed="false">
      <c r="A3" s="6" t="n">
        <v>2</v>
      </c>
      <c r="B3" s="6" t="s">
        <v>887</v>
      </c>
      <c r="C3" s="6" t="s">
        <v>888</v>
      </c>
      <c r="D3" s="6" t="s">
        <v>889</v>
      </c>
      <c r="E3" s="6" t="s">
        <v>890</v>
      </c>
      <c r="F3" s="6" t="s">
        <v>891</v>
      </c>
      <c r="G3" s="6" t="s">
        <v>892</v>
      </c>
    </row>
    <row r="4" customFormat="false" ht="39.55" hidden="false" customHeight="false" outlineLevel="0" collapsed="false">
      <c r="A4" s="6" t="n">
        <v>3</v>
      </c>
      <c r="B4" s="6" t="s">
        <v>893</v>
      </c>
      <c r="C4" s="6" t="s">
        <v>894</v>
      </c>
      <c r="D4" s="6" t="s">
        <v>895</v>
      </c>
      <c r="E4" s="6" t="s">
        <v>896</v>
      </c>
      <c r="F4" s="6" t="s">
        <v>897</v>
      </c>
      <c r="G4" s="6" t="s">
        <v>892</v>
      </c>
    </row>
    <row r="5" customFormat="false" ht="26.85" hidden="false" customHeight="false" outlineLevel="0" collapsed="false">
      <c r="A5" s="6" t="n">
        <v>4</v>
      </c>
      <c r="B5" s="6" t="s">
        <v>898</v>
      </c>
      <c r="C5" s="6" t="s">
        <v>899</v>
      </c>
      <c r="D5" s="6" t="s">
        <v>900</v>
      </c>
      <c r="E5" s="6" t="s">
        <v>901</v>
      </c>
      <c r="F5" s="6" t="s">
        <v>902</v>
      </c>
      <c r="G5" s="6" t="s">
        <v>903</v>
      </c>
    </row>
    <row r="6" customFormat="false" ht="26.85" hidden="false" customHeight="false" outlineLevel="0" collapsed="false">
      <c r="A6" s="6" t="n">
        <v>5</v>
      </c>
      <c r="B6" s="6" t="s">
        <v>904</v>
      </c>
      <c r="C6" s="6" t="s">
        <v>905</v>
      </c>
      <c r="D6" s="6" t="s">
        <v>906</v>
      </c>
      <c r="E6" s="6" t="s">
        <v>907</v>
      </c>
      <c r="F6" s="6" t="s">
        <v>908</v>
      </c>
      <c r="G6" s="6" t="s">
        <v>909</v>
      </c>
    </row>
    <row r="7" customFormat="false" ht="26.85" hidden="false" customHeight="false" outlineLevel="0" collapsed="false">
      <c r="A7" s="6" t="n">
        <v>6</v>
      </c>
      <c r="B7" s="6" t="s">
        <v>910</v>
      </c>
      <c r="C7" s="6" t="s">
        <v>911</v>
      </c>
      <c r="D7" s="6" t="s">
        <v>912</v>
      </c>
      <c r="E7" s="6" t="s">
        <v>913</v>
      </c>
      <c r="F7" s="6" t="s">
        <v>914</v>
      </c>
      <c r="G7" s="6" t="s">
        <v>909</v>
      </c>
    </row>
    <row r="8" customFormat="false" ht="39.55" hidden="false" customHeight="false" outlineLevel="0" collapsed="false">
      <c r="A8" s="6" t="n">
        <v>7</v>
      </c>
      <c r="B8" s="6" t="s">
        <v>915</v>
      </c>
      <c r="C8" s="6" t="s">
        <v>916</v>
      </c>
      <c r="D8" s="6" t="s">
        <v>917</v>
      </c>
      <c r="E8" s="6" t="s">
        <v>918</v>
      </c>
      <c r="F8" s="6" t="s">
        <v>919</v>
      </c>
      <c r="G8" s="6" t="s">
        <v>909</v>
      </c>
    </row>
    <row r="9" customFormat="false" ht="39.55" hidden="false" customHeight="false" outlineLevel="0" collapsed="false">
      <c r="A9" s="6" t="n">
        <v>8</v>
      </c>
      <c r="B9" s="6" t="s">
        <v>920</v>
      </c>
      <c r="C9" s="6" t="s">
        <v>921</v>
      </c>
      <c r="D9" s="6" t="s">
        <v>922</v>
      </c>
      <c r="E9" s="6" t="s">
        <v>923</v>
      </c>
      <c r="F9" s="6" t="s">
        <v>924</v>
      </c>
      <c r="G9" s="6" t="s">
        <v>925</v>
      </c>
    </row>
    <row r="10" customFormat="false" ht="39.55" hidden="false" customHeight="false" outlineLevel="0" collapsed="false">
      <c r="A10" s="6" t="n">
        <v>9</v>
      </c>
      <c r="B10" s="6" t="s">
        <v>926</v>
      </c>
      <c r="C10" s="6" t="s">
        <v>927</v>
      </c>
      <c r="D10" s="6" t="s">
        <v>928</v>
      </c>
      <c r="E10" s="6" t="s">
        <v>929</v>
      </c>
      <c r="F10" s="6" t="s">
        <v>930</v>
      </c>
      <c r="G10" s="6" t="s">
        <v>925</v>
      </c>
    </row>
    <row r="11" customFormat="false" ht="39.55" hidden="false" customHeight="false" outlineLevel="0" collapsed="false">
      <c r="A11" s="6" t="n">
        <v>10</v>
      </c>
      <c r="B11" s="6" t="s">
        <v>931</v>
      </c>
      <c r="C11" s="6" t="s">
        <v>932</v>
      </c>
      <c r="D11" s="6" t="s">
        <v>933</v>
      </c>
      <c r="E11" s="6" t="s">
        <v>934</v>
      </c>
      <c r="F11" s="6" t="s">
        <v>935</v>
      </c>
      <c r="G11" s="6" t="s">
        <v>936</v>
      </c>
    </row>
    <row r="12" customFormat="false" ht="26.85" hidden="false" customHeight="false" outlineLevel="0" collapsed="false">
      <c r="A12" s="6" t="n">
        <v>11</v>
      </c>
      <c r="B12" s="6" t="s">
        <v>937</v>
      </c>
      <c r="C12" s="6" t="s">
        <v>938</v>
      </c>
      <c r="D12" s="6" t="s">
        <v>939</v>
      </c>
      <c r="E12" s="6" t="s">
        <v>940</v>
      </c>
      <c r="F12" s="6" t="s">
        <v>941</v>
      </c>
      <c r="G12" s="6" t="s">
        <v>936</v>
      </c>
    </row>
    <row r="13" customFormat="false" ht="52.2" hidden="false" customHeight="false" outlineLevel="0" collapsed="false">
      <c r="A13" s="6" t="n">
        <v>12</v>
      </c>
      <c r="B13" s="6" t="s">
        <v>942</v>
      </c>
      <c r="C13" s="6" t="s">
        <v>943</v>
      </c>
      <c r="D13" s="6" t="s">
        <v>944</v>
      </c>
      <c r="E13" s="6" t="s">
        <v>945</v>
      </c>
      <c r="F13" s="6" t="s">
        <v>946</v>
      </c>
      <c r="G13" s="6" t="s">
        <v>936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2026-07-04T20:35:16Z</dcterms:created>
  <dc:creator>openpyxl</dc:creator>
  <dc:description/>
  <dc:language>en-US</dc:language>
  <cp:lastModifiedBy/>
  <dcterms:modified xsi:type="dcterms:W3CDTF">2026-07-04T20:35:16Z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